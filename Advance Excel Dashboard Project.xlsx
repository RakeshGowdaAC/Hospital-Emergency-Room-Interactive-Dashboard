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akes\Desktop\"/>
    </mc:Choice>
  </mc:AlternateContent>
  <xr:revisionPtr revIDLastSave="0" documentId="13_ncr:1_{2E1B81A8-816F-4C3F-A5CB-6E8B9C0C11B2}" xr6:coauthVersionLast="47" xr6:coauthVersionMax="47" xr10:uidLastSave="{00000000-0000-0000-0000-000000000000}"/>
  <bookViews>
    <workbookView xWindow="-120" yWindow="-120" windowWidth="20730" windowHeight="11040" activeTab="2" xr2:uid="{24F095B1-A7FC-4CA2-BB5F-5F732C794D47}"/>
  </bookViews>
  <sheets>
    <sheet name="Pivot Report" sheetId="1" r:id="rId1"/>
    <sheet name="Daily ER No of Patient" sheetId="3" r:id="rId2"/>
    <sheet name="Dashboard" sheetId="2" r:id="rId3"/>
    <sheet name="Satisfaction Score daily trend " sheetId="5" r:id="rId4"/>
    <sheet name="Average wait time daily trend" sheetId="4" r:id="rId5"/>
  </sheets>
  <definedNames>
    <definedName name="Slicer_Date__Month">#N/A</definedName>
    <definedName name="Slicer_Date__Year">#N/A</definedName>
  </definedNames>
  <calcPr calcId="191029"/>
  <pivotCaches>
    <pivotCache cacheId="1812" r:id="rId6"/>
    <pivotCache cacheId="1815" r:id="rId7"/>
    <pivotCache cacheId="1818" r:id="rId8"/>
    <pivotCache cacheId="1821" r:id="rId9"/>
    <pivotCache cacheId="1824" r:id="rId10"/>
    <pivotCache cacheId="1827" r:id="rId11"/>
    <pivotCache cacheId="1830" r:id="rId12"/>
    <pivotCache cacheId="1833" r:id="rId13"/>
    <pivotCache cacheId="1836" r:id="rId14"/>
    <pivotCache cacheId="1839" r:id="rId15"/>
    <pivotCache cacheId="1842" r:id="rId16"/>
    <pivotCache cacheId="1845" r:id="rId17"/>
  </pivotCaches>
  <extLst>
    <ext xmlns:x14="http://schemas.microsoft.com/office/spreadsheetml/2009/9/main" uri="{876F7934-8845-4945-9796-88D515C7AA90}">
      <x14:pivotCaches>
        <pivotCache cacheId="1385"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55b7786-8277-429f-b352-5cd22ac02b05" name="Hospital Emergency Room Data" connection="Query - Hospital Emergency Room Data"/>
          <x15:modelTable id="Calendar_Table_12345c28-943f-441f-a6fb-1ed2007c1e4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7" i="1" l="1"/>
  <c r="D46" i="1"/>
  <c r="C47" i="1"/>
  <c r="C46" i="1"/>
  <c r="B47" i="1"/>
  <c r="B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3CF076-6485-464A-BA15-5820AD84FD45}" name="Query - Calendar_Table" description="Connection to the 'Calendar_Table' query in the workbook." type="100" refreshedVersion="8" minRefreshableVersion="5">
    <extLst>
      <ext xmlns:x15="http://schemas.microsoft.com/office/spreadsheetml/2010/11/main" uri="{DE250136-89BD-433C-8126-D09CA5730AF9}">
        <x15:connection id="4a5facec-ff91-4887-a095-f136dd49b498"/>
      </ext>
    </extLst>
  </connection>
  <connection id="2" xr16:uid="{B39E7209-B917-4202-BA71-2CBBC22C8C7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7ddcfe3-89b2-46fb-af53-9a6333a71ba5"/>
      </ext>
    </extLst>
  </connection>
  <connection id="3" xr16:uid="{02330563-66F2-46B1-9435-5F69C42782D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<sst xmlns="http://schemas.openxmlformats.org/spreadsheetml/2006/main" count="156" uniqueCount="76">
  <si>
    <t>Count of Patient Id</t>
  </si>
  <si>
    <t>Distinct Count of Patient Id</t>
  </si>
  <si>
    <t>No.of.Patients</t>
  </si>
  <si>
    <t>Average of Patient Waittime</t>
  </si>
  <si>
    <t>Average of Patient Satisfaction Score</t>
  </si>
  <si>
    <t>Row Labels</t>
  </si>
  <si>
    <t>Grand Total</t>
  </si>
  <si>
    <t>2023</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</si>
  <si>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</si>
  <si>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</si>
  <si>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</si>
  <si>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</si>
  <si>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</si>
  <si>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</si>
  <si>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</si>
  <si>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</si>
  <si>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</si>
  <si>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</si>
  <si>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</si>
  <si>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</si>
  <si>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</si>
  <si>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</si>
  <si>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</si>
  <si>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</si>
  <si>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</si>
  <si>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</si>
  <si>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</si>
  <si>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</si>
  <si>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</si>
  <si>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</si>
  <si>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</si>
  <si>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</si>
  <si>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</si>
  <si>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</si>
  <si>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</si>
  <si>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</si>
  <si>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</si>
  <si>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</si>
  <si>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</si>
  <si>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Daily trends No of Patient</t>
  </si>
  <si>
    <t>Average wait time</t>
  </si>
  <si>
    <t>Satisfaction score daily trend</t>
  </si>
  <si>
    <t>Delay</t>
  </si>
  <si>
    <t>Ontime</t>
  </si>
  <si>
    <t>Count of Patient Admission Flag</t>
  </si>
  <si>
    <t>Admitted</t>
  </si>
  <si>
    <t>Not Admitted</t>
  </si>
  <si>
    <t>Count of Patient Admission Flag2</t>
  </si>
  <si>
    <t>Admission Status</t>
  </si>
  <si>
    <t>%Status</t>
  </si>
  <si>
    <t>No.of Patient</t>
  </si>
  <si>
    <t>0-09</t>
  </si>
  <si>
    <t>10-19</t>
  </si>
  <si>
    <t>20-29</t>
  </si>
  <si>
    <t>30-39</t>
  </si>
  <si>
    <t>40-49</t>
  </si>
  <si>
    <t>50-59</t>
  </si>
  <si>
    <t>60-69</t>
  </si>
  <si>
    <t>70-79</t>
  </si>
  <si>
    <t>Count of Age Group</t>
  </si>
  <si>
    <t>Age Groupwise Analysis</t>
  </si>
  <si>
    <t>Attendance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</si>
  <si>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</si>
  <si>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</si>
  <si>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</si>
  <si>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</si>
  <si>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</si>
  <si>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</si>
  <si>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</si>
  <si>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</si>
  <si>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</si>
  <si>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</si>
  <si>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</si>
  <si>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</si>
  <si>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</si>
  <si>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No.of.Patient By Dept.Referal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</si>
</sst>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Aptos Narrow"/>
      <family val="2"/>
    </font>
    <font>
      <sz val="10"/>
      <color theme="1"/>
      <name val="Aptos Narrow"/>
      <family val="2"/>
    </font>
  </fonts>
  <fills count="5">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0" fontId="0" fillId="0" borderId="0" xfId="0" applyNumberFormat="1"/>
    <xf numFmtId="0" fontId="1" fillId="4" borderId="0" xfId="0" applyFont="1" applyFill="1"/>
    <xf numFmtId="0" fontId="1" fillId="0" borderId="0" xfId="0" applyFont="1"/>
    <xf numFmtId="1" fontId="0" fillId="0" borderId="0" xfId="0" applyNumberFormat="1"/>
    <xf numFmtId="0" fontId="2" fillId="4" borderId="0" xfId="0" applyFont="1" applyFill="1" applyAlignment="1">
      <alignment horizontal="center"/>
    </xf>
    <xf numFmtId="0" fontId="2" fillId="0" borderId="0" xfId="0" applyFont="1" applyAlignment="1">
      <alignment horizontal="center"/>
    </xf>
    <xf numFmtId="2" fontId="2" fillId="0" borderId="0" xfId="0" applyNumberFormat="1" applyFont="1" applyAlignment="1">
      <alignment horizontal="center"/>
    </xf>
    <xf numFmtId="9" fontId="2" fillId="0" borderId="0" xfId="0" applyNumberFormat="1" applyFont="1" applyAlignment="1">
      <alignment horizontal="center"/>
    </xf>
  </cellXfs>
  <cellStyles count="1">
    <cellStyle name="Normal" xfId="0" builtinId="0"/>
  </cellStyles>
  <dxfs count="149">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8"/>
        <color theme="1"/>
      </font>
      <fill>
        <patternFill>
          <bgColor theme="0" tint="-0.14996795556505021"/>
        </patternFill>
      </fill>
      <border diagonalUp="0" diagonalDown="0">
        <left/>
        <right/>
        <top/>
        <bottom/>
        <vertical/>
        <horizontal/>
      </border>
    </dxf>
  </dxfs>
  <tableStyles count="1" defaultTableStyle="TableStyleMedium2" defaultPivotStyle="PivotStyleLight16">
    <tableStyle name="My style" pivot="0" table="0" count="10" xr9:uid="{DD641B26-A684-44CE-A28F-2D8D09377487}">
      <tableStyleElement type="wholeTable" dxfId="148"/>
      <tableStyleElement type="headerRow" dxfId="14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2">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 Project.xlsx]Pivot Report!PivotTable7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BA1771E1-0EE9-4FC7-80EB-9CFD7553E150}" type="CELLRANGE">
                  <a:rPr lang="en-US"/>
                  <a:pPr>
                    <a:defRPr sz="700"/>
                  </a:pPr>
                  <a:t>[CELLRANGE]</a:t>
                </a:fld>
                <a:endParaRPr lang="en-IN"/>
              </a:p>
            </c:rich>
          </c:tx>
          <c:spPr>
            <a:noFill/>
            <a:ln>
              <a:noFill/>
            </a:ln>
            <a:effectLst/>
          </c:spPr>
          <c:txPr>
            <a:bodyPr rot="0" spcFirstLastPara="1" vertOverflow="ellipsis" vert="horz" wrap="none" lIns="38100" tIns="19050" rIns="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1A796ACF-CFBE-4804-8753-DA4784A71DFC}" type="CELLRANGE">
                  <a:rPr lang="en-US"/>
                  <a:pPr>
                    <a:defRPr sz="700"/>
                  </a:pPr>
                  <a:t>[CELLRANGE]</a:t>
                </a:fld>
                <a:endParaRPr lang="en-IN"/>
              </a:p>
            </c:rich>
          </c:tx>
          <c:spPr>
            <a:noFill/>
            <a:ln>
              <a:noFill/>
            </a:ln>
            <a:effectLst/>
          </c:spPr>
          <c:txPr>
            <a:bodyPr rot="0" spcFirstLastPara="1" vertOverflow="ellipsis" vert="horz" wrap="none" lIns="38100" tIns="19050" rIns="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4.5727617381160691E-2"/>
          <c:y val="0.22354242380220496"/>
          <c:w val="0.94287637122282797"/>
          <c:h val="0.58392404007672238"/>
        </c:manualLayout>
      </c:layout>
      <c:barChart>
        <c:barDir val="bar"/>
        <c:grouping val="clustered"/>
        <c:varyColors val="0"/>
        <c:ser>
          <c:idx val="0"/>
          <c:order val="0"/>
          <c:tx>
            <c:strRef>
              <c:f>'Pivot Report'!$C$40:$C$41</c:f>
              <c:strCache>
                <c:ptCount val="1"/>
                <c:pt idx="0">
                  <c:v>Count of Patient Admission Flag</c:v>
                </c:pt>
              </c:strCache>
            </c:strRef>
          </c:tx>
          <c:spPr>
            <a:solidFill>
              <a:schemeClr val="accent1"/>
            </a:solidFill>
            <a:ln>
              <a:noFill/>
            </a:ln>
            <a:effectLst/>
          </c:spPr>
          <c:invertIfNegative val="0"/>
          <c:dLbls>
            <c:dLbl>
              <c:idx val="0"/>
              <c:tx>
                <c:rich>
                  <a:bodyPr/>
                  <a:lstStyle/>
                  <a:p>
                    <a:fld id="{BA1771E1-0EE9-4FC7-80EB-9CFD7553E15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FE6-4286-8C12-61D63820622E}"/>
                </c:ext>
              </c:extLst>
            </c:dLbl>
            <c:dLbl>
              <c:idx val="1"/>
              <c:tx>
                <c:rich>
                  <a:bodyPr/>
                  <a:lstStyle/>
                  <a:p>
                    <a:fld id="{1A796ACF-CFBE-4804-8753-DA4784A71DF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FE6-4286-8C12-61D63820622E}"/>
                </c:ext>
              </c:extLst>
            </c:dLbl>
            <c:spPr>
              <a:noFill/>
              <a:ln>
                <a:noFill/>
              </a:ln>
              <a:effectLst/>
            </c:spPr>
            <c:txPr>
              <a:bodyPr rot="0" spcFirstLastPara="1" vertOverflow="ellipsis" vert="horz" wrap="none" lIns="38100" tIns="19050" rIns="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Report'!$C$40:$C$41</c:f>
              <c:strCache>
                <c:ptCount val="2"/>
                <c:pt idx="0">
                  <c:v>Admitted</c:v>
                </c:pt>
                <c:pt idx="1">
                  <c:v>Not Admitted</c:v>
                </c:pt>
              </c:strCache>
            </c:strRef>
          </c:cat>
          <c:val>
            <c:numRef>
              <c:f>'Pivot Report'!$C$40:$C$41</c:f>
              <c:numCache>
                <c:formatCode>0.00</c:formatCode>
                <c:ptCount val="2"/>
                <c:pt idx="0">
                  <c:v>229</c:v>
                </c:pt>
                <c:pt idx="1">
                  <c:v>251</c:v>
                </c:pt>
              </c:numCache>
            </c:numRef>
          </c:val>
          <c:extLst>
            <c:ext xmlns:c15="http://schemas.microsoft.com/office/drawing/2012/chart" uri="{02D57815-91ED-43cb-92C2-25804820EDAC}">
              <c15:datalabelsRange>
                <c15:f>'Pivot Report'!$C$40:$C$41</c15:f>
                <c15:dlblRangeCache>
                  <c:ptCount val="2"/>
                  <c:pt idx="0">
                    <c:v>47.71%</c:v>
                  </c:pt>
                  <c:pt idx="1">
                    <c:v>52.29%</c:v>
                  </c:pt>
                </c15:dlblRangeCache>
              </c15:datalabelsRange>
            </c:ext>
            <c:ext xmlns:c16="http://schemas.microsoft.com/office/drawing/2014/chart" uri="{C3380CC4-5D6E-409C-BE32-E72D297353CC}">
              <c16:uniqueId val="{00000000-DFE6-4286-8C12-61D63820622E}"/>
            </c:ext>
          </c:extLst>
        </c:ser>
        <c:ser>
          <c:idx val="1"/>
          <c:order val="1"/>
          <c:tx>
            <c:strRef>
              <c:f>'Pivot Report'!$C$40:$C$41</c:f>
              <c:strCache>
                <c:ptCount val="1"/>
                <c:pt idx="0">
                  <c:v>Count of Patient Admission Flag2</c:v>
                </c:pt>
              </c:strCache>
            </c:strRef>
          </c:tx>
          <c:spPr>
            <a:solidFill>
              <a:schemeClr val="accent2"/>
            </a:solidFill>
            <a:ln>
              <a:noFill/>
            </a:ln>
            <a:effectLst/>
          </c:spPr>
          <c:invertIfNegative val="0"/>
          <c:cat>
            <c:strRef>
              <c:f>'Pivot Report'!$C$40:$C$41</c:f>
              <c:strCache>
                <c:ptCount val="2"/>
                <c:pt idx="0">
                  <c:v>Admitted</c:v>
                </c:pt>
                <c:pt idx="1">
                  <c:v>Not Admitted</c:v>
                </c:pt>
              </c:strCache>
            </c:strRef>
          </c:cat>
          <c:val>
            <c:numRef>
              <c:f>'Pivot Report'!$C$40:$C$41</c:f>
              <c:numCache>
                <c:formatCode>0.00%</c:formatCode>
                <c:ptCount val="2"/>
                <c:pt idx="0">
                  <c:v>0.47708333333333336</c:v>
                </c:pt>
                <c:pt idx="1">
                  <c:v>0.5229166666666667</c:v>
                </c:pt>
              </c:numCache>
            </c:numRef>
          </c:val>
          <c:extLst>
            <c:ext xmlns:c16="http://schemas.microsoft.com/office/drawing/2014/chart" uri="{C3380CC4-5D6E-409C-BE32-E72D297353CC}">
              <c16:uniqueId val="{00000001-DFE6-4286-8C12-61D63820622E}"/>
            </c:ext>
          </c:extLst>
        </c:ser>
        <c:dLbls>
          <c:showLegendKey val="0"/>
          <c:showVal val="0"/>
          <c:showCatName val="0"/>
          <c:showSerName val="0"/>
          <c:showPercent val="0"/>
          <c:showBubbleSize val="0"/>
        </c:dLbls>
        <c:gapWidth val="0"/>
        <c:overlap val="-4"/>
        <c:axId val="1793196175"/>
        <c:axId val="1793148655"/>
      </c:barChart>
      <c:catAx>
        <c:axId val="1793196175"/>
        <c:scaling>
          <c:orientation val="minMax"/>
        </c:scaling>
        <c:delete val="1"/>
        <c:axPos val="l"/>
        <c:numFmt formatCode="General" sourceLinked="1"/>
        <c:majorTickMark val="none"/>
        <c:minorTickMark val="none"/>
        <c:tickLblPos val="nextTo"/>
        <c:crossAx val="1793148655"/>
        <c:crosses val="autoZero"/>
        <c:auto val="1"/>
        <c:lblAlgn val="ctr"/>
        <c:lblOffset val="100"/>
        <c:noMultiLvlLbl val="0"/>
      </c:catAx>
      <c:valAx>
        <c:axId val="1793148655"/>
        <c:scaling>
          <c:orientation val="minMax"/>
        </c:scaling>
        <c:delete val="1"/>
        <c:axPos val="b"/>
        <c:numFmt formatCode="0.00" sourceLinked="1"/>
        <c:majorTickMark val="none"/>
        <c:minorTickMark val="none"/>
        <c:tickLblPos val="nextTo"/>
        <c:crossAx val="179319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 Project.xlsx]Pivot Report!PivotTable4</c:name>
    <c:fmtId val="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Report'!$D$5:$D$36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2-DE67-4026-853F-FA0FA1350A9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64989039"/>
        <c:axId val="964984239"/>
      </c:areaChart>
      <c:catAx>
        <c:axId val="96498903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64984239"/>
        <c:crosses val="autoZero"/>
        <c:auto val="1"/>
        <c:lblAlgn val="ctr"/>
        <c:lblOffset val="100"/>
        <c:noMultiLvlLbl val="0"/>
      </c:catAx>
      <c:valAx>
        <c:axId val="964984239"/>
        <c:scaling>
          <c:orientation val="minMax"/>
        </c:scaling>
        <c:delete val="1"/>
        <c:axPos val="l"/>
        <c:numFmt formatCode="General" sourceLinked="1"/>
        <c:majorTickMark val="out"/>
        <c:minorTickMark val="none"/>
        <c:tickLblPos val="nextTo"/>
        <c:crossAx val="9649890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 Project.xlsx]Pivot Report!PivotTable4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50011244337119"/>
          <c:y val="0.51531654829934814"/>
          <c:w val="0.82427042982044008"/>
          <c:h val="0.48468344181294049"/>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Report'!$D$5:$D$36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2-DC58-4AA7-B00D-C329DA255806}"/>
            </c:ext>
          </c:extLst>
        </c:ser>
        <c:dLbls>
          <c:showLegendKey val="0"/>
          <c:showVal val="0"/>
          <c:showCatName val="0"/>
          <c:showSerName val="0"/>
          <c:showPercent val="0"/>
          <c:showBubbleSize val="0"/>
        </c:dLbls>
        <c:axId val="503433151"/>
        <c:axId val="503426911"/>
      </c:areaChart>
      <c:catAx>
        <c:axId val="503433151"/>
        <c:scaling>
          <c:orientation val="minMax"/>
        </c:scaling>
        <c:delete val="1"/>
        <c:axPos val="b"/>
        <c:numFmt formatCode="General" sourceLinked="1"/>
        <c:majorTickMark val="out"/>
        <c:minorTickMark val="none"/>
        <c:tickLblPos val="nextTo"/>
        <c:crossAx val="503426911"/>
        <c:crosses val="autoZero"/>
        <c:auto val="1"/>
        <c:lblAlgn val="ctr"/>
        <c:lblOffset val="100"/>
        <c:noMultiLvlLbl val="0"/>
      </c:catAx>
      <c:valAx>
        <c:axId val="503426911"/>
        <c:scaling>
          <c:orientation val="minMax"/>
        </c:scaling>
        <c:delete val="1"/>
        <c:axPos val="l"/>
        <c:numFmt formatCode="General" sourceLinked="1"/>
        <c:majorTickMark val="none"/>
        <c:minorTickMark val="none"/>
        <c:tickLblPos val="nextTo"/>
        <c:crossAx val="5034331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 Project.xlsx]Pivot Report!PivotTable5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583869890868716"/>
          <c:w val="1"/>
          <c:h val="0.82785586629066144"/>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Report'!$I$5:$I$36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3-0868-4270-BA31-7EFFCB3C5F0E}"/>
            </c:ext>
          </c:extLst>
        </c:ser>
        <c:dLbls>
          <c:showLegendKey val="0"/>
          <c:showVal val="0"/>
          <c:showCatName val="0"/>
          <c:showSerName val="0"/>
          <c:showPercent val="0"/>
          <c:showBubbleSize val="0"/>
        </c:dLbls>
        <c:axId val="503424511"/>
        <c:axId val="503421631"/>
      </c:areaChart>
      <c:catAx>
        <c:axId val="503424511"/>
        <c:scaling>
          <c:orientation val="minMax"/>
        </c:scaling>
        <c:delete val="1"/>
        <c:axPos val="b"/>
        <c:numFmt formatCode="General" sourceLinked="1"/>
        <c:majorTickMark val="out"/>
        <c:minorTickMark val="none"/>
        <c:tickLblPos val="nextTo"/>
        <c:crossAx val="503421631"/>
        <c:crosses val="autoZero"/>
        <c:auto val="1"/>
        <c:lblAlgn val="ctr"/>
        <c:lblOffset val="100"/>
        <c:noMultiLvlLbl val="0"/>
      </c:catAx>
      <c:valAx>
        <c:axId val="503421631"/>
        <c:scaling>
          <c:orientation val="minMax"/>
        </c:scaling>
        <c:delete val="1"/>
        <c:axPos val="l"/>
        <c:numFmt formatCode="0.00" sourceLinked="1"/>
        <c:majorTickMark val="none"/>
        <c:minorTickMark val="none"/>
        <c:tickLblPos val="nextTo"/>
        <c:crossAx val="50342451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 Project.xlsx]Pivot Report!PivotTable6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506031555776158E-2"/>
          <c:y val="4.6675481945222377E-2"/>
          <c:w val="0.85671641791044773"/>
          <c:h val="0.76571901690968303"/>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Report'!$L$5:$L$35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3-4D20-4B4E-A1B1-CD13C7DECADE}"/>
            </c:ext>
          </c:extLst>
        </c:ser>
        <c:dLbls>
          <c:showLegendKey val="0"/>
          <c:showVal val="0"/>
          <c:showCatName val="0"/>
          <c:showSerName val="0"/>
          <c:showPercent val="0"/>
          <c:showBubbleSize val="0"/>
        </c:dLbls>
        <c:axId val="965012559"/>
        <c:axId val="965032719"/>
      </c:areaChart>
      <c:catAx>
        <c:axId val="965012559"/>
        <c:scaling>
          <c:orientation val="minMax"/>
        </c:scaling>
        <c:delete val="1"/>
        <c:axPos val="b"/>
        <c:numFmt formatCode="General" sourceLinked="1"/>
        <c:majorTickMark val="out"/>
        <c:minorTickMark val="none"/>
        <c:tickLblPos val="nextTo"/>
        <c:crossAx val="965032719"/>
        <c:crosses val="autoZero"/>
        <c:auto val="1"/>
        <c:lblAlgn val="ctr"/>
        <c:lblOffset val="100"/>
        <c:noMultiLvlLbl val="0"/>
      </c:catAx>
      <c:valAx>
        <c:axId val="965032719"/>
        <c:scaling>
          <c:orientation val="minMax"/>
        </c:scaling>
        <c:delete val="1"/>
        <c:axPos val="l"/>
        <c:numFmt formatCode="0.00" sourceLinked="1"/>
        <c:majorTickMark val="none"/>
        <c:minorTickMark val="none"/>
        <c:tickLblPos val="nextTo"/>
        <c:crossAx val="9650125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 Project.xlsx]Pivot Report!PivotTable8</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Report'!$A$51:$A$59</c:f>
              <c:strCache>
                <c:ptCount val="8"/>
                <c:pt idx="0">
                  <c:v>0-09</c:v>
                </c:pt>
                <c:pt idx="1">
                  <c:v>10-19</c:v>
                </c:pt>
                <c:pt idx="2">
                  <c:v>20-29</c:v>
                </c:pt>
                <c:pt idx="3">
                  <c:v>30-39</c:v>
                </c:pt>
                <c:pt idx="4">
                  <c:v>40-49</c:v>
                </c:pt>
                <c:pt idx="5">
                  <c:v>50-59</c:v>
                </c:pt>
                <c:pt idx="6">
                  <c:v>60-69</c:v>
                </c:pt>
                <c:pt idx="7">
                  <c:v>70-79</c:v>
                </c:pt>
              </c:strCache>
            </c:strRef>
          </c:cat>
          <c:val>
            <c:numRef>
              <c:f>'Pivot Report'!$B$51:$B$59</c:f>
              <c:numCache>
                <c:formatCode>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9-B6F8-4D2D-B7BE-2746A69D16A2}"/>
            </c:ext>
          </c:extLst>
        </c:ser>
        <c:dLbls>
          <c:showLegendKey val="0"/>
          <c:showVal val="0"/>
          <c:showCatName val="0"/>
          <c:showSerName val="0"/>
          <c:showPercent val="0"/>
          <c:showBubbleSize val="0"/>
        </c:dLbls>
        <c:gapWidth val="219"/>
        <c:overlap val="-27"/>
        <c:axId val="1869179183"/>
        <c:axId val="1869171983"/>
      </c:barChart>
      <c:catAx>
        <c:axId val="186917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69171983"/>
        <c:crosses val="autoZero"/>
        <c:auto val="1"/>
        <c:lblAlgn val="ctr"/>
        <c:lblOffset val="100"/>
        <c:noMultiLvlLbl val="0"/>
      </c:catAx>
      <c:valAx>
        <c:axId val="1869171983"/>
        <c:scaling>
          <c:orientation val="minMax"/>
        </c:scaling>
        <c:delete val="1"/>
        <c:axPos val="l"/>
        <c:numFmt formatCode="0" sourceLinked="1"/>
        <c:majorTickMark val="none"/>
        <c:minorTickMark val="none"/>
        <c:tickLblPos val="nextTo"/>
        <c:crossAx val="186917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 Project.xlsx]Pivot Report!PivotTable9</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s>
    <c:plotArea>
      <c:layout>
        <c:manualLayout>
          <c:layoutTarget val="inner"/>
          <c:xMode val="edge"/>
          <c:yMode val="edge"/>
          <c:x val="0.19086061529658366"/>
          <c:y val="0.19880458671975659"/>
          <c:w val="0.68056893622238968"/>
          <c:h val="0.69166630197017709"/>
        </c:manualLayout>
      </c:layout>
      <c:pieChart>
        <c:varyColors val="1"/>
        <c:ser>
          <c:idx val="0"/>
          <c:order val="0"/>
          <c:tx>
            <c:strRef>
              <c:f>'Pivot Report'!$B$63</c:f>
              <c:strCache>
                <c:ptCount val="1"/>
                <c:pt idx="0">
                  <c:v>Total</c:v>
                </c:pt>
              </c:strCache>
            </c:strRef>
          </c:tx>
          <c:spPr>
            <a:ln>
              <a:noFill/>
            </a:ln>
            <a:effectLst/>
          </c:spPr>
          <c:dPt>
            <c:idx val="0"/>
            <c:bubble3D val="0"/>
            <c:spPr>
              <a:solidFill>
                <a:schemeClr val="accent1"/>
              </a:solidFill>
              <a:ln>
                <a:noFill/>
              </a:ln>
              <a:effectLst/>
            </c:spPr>
            <c:extLst>
              <c:ext xmlns:c16="http://schemas.microsoft.com/office/drawing/2014/chart" uri="{C3380CC4-5D6E-409C-BE32-E72D297353CC}">
                <c16:uniqueId val="{00000009-9E23-4CD3-95E1-44E6FAA3E092}"/>
              </c:ext>
            </c:extLst>
          </c:dPt>
          <c:dPt>
            <c:idx val="1"/>
            <c:bubble3D val="0"/>
            <c:spPr>
              <a:solidFill>
                <a:schemeClr val="accent2"/>
              </a:solidFill>
              <a:ln>
                <a:noFill/>
              </a:ln>
              <a:effectLst/>
            </c:spPr>
            <c:extLst>
              <c:ext xmlns:c16="http://schemas.microsoft.com/office/drawing/2014/chart" uri="{C3380CC4-5D6E-409C-BE32-E72D297353CC}">
                <c16:uniqueId val="{00000008-9E23-4CD3-95E1-44E6FAA3E09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9-9E23-4CD3-95E1-44E6FAA3E09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8-9E23-4CD3-95E1-44E6FAA3E09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Report'!$A$64:$A$66</c:f>
              <c:strCache>
                <c:ptCount val="2"/>
                <c:pt idx="0">
                  <c:v>Delay</c:v>
                </c:pt>
                <c:pt idx="1">
                  <c:v>Ontime</c:v>
                </c:pt>
              </c:strCache>
            </c:strRef>
          </c:cat>
          <c:val>
            <c:numRef>
              <c:f>'Pivot Report'!$B$64:$B$66</c:f>
              <c:numCache>
                <c:formatCode>0</c:formatCode>
                <c:ptCount val="2"/>
                <c:pt idx="0">
                  <c:v>282</c:v>
                </c:pt>
                <c:pt idx="1">
                  <c:v>198</c:v>
                </c:pt>
              </c:numCache>
            </c:numRef>
          </c:val>
          <c:extLst>
            <c:ext xmlns:c16="http://schemas.microsoft.com/office/drawing/2014/chart" uri="{C3380CC4-5D6E-409C-BE32-E72D297353CC}">
              <c16:uniqueId val="{00000007-9E23-4CD3-95E1-44E6FAA3E09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5466858764385433"/>
          <c:y val="5.370903747571678E-2"/>
          <c:w val="0.65358548348485113"/>
          <c:h val="0.1477202731848979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 Project.xlsx]Pivot Report!PivotTable10</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9.418937654314323E-2"/>
          <c:y val="0.16411704355904483"/>
          <c:w val="0.73760357662241138"/>
          <c:h val="0.74179569876630147"/>
        </c:manualLayout>
      </c:layout>
      <c:doughnutChart>
        <c:varyColors val="1"/>
        <c:ser>
          <c:idx val="0"/>
          <c:order val="0"/>
          <c:tx>
            <c:strRef>
              <c:f>'Pivot Report'!$B$69</c:f>
              <c:strCache>
                <c:ptCount val="1"/>
                <c:pt idx="0">
                  <c:v>Total</c:v>
                </c:pt>
              </c:strCache>
            </c:strRef>
          </c:tx>
          <c:spPr>
            <a:ln>
              <a:noFill/>
            </a:ln>
            <a:effectLst/>
          </c:spPr>
          <c:dPt>
            <c:idx val="0"/>
            <c:bubble3D val="0"/>
            <c:spPr>
              <a:solidFill>
                <a:schemeClr val="accent1"/>
              </a:solidFill>
              <a:ln w="19050">
                <a:noFill/>
              </a:ln>
              <a:effectLst/>
            </c:spPr>
          </c:dPt>
          <c:dPt>
            <c:idx val="1"/>
            <c:bubble3D val="0"/>
            <c:spPr>
              <a:solidFill>
                <a:schemeClr val="accent2"/>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Report'!$A$70:$A$72</c:f>
              <c:strCache>
                <c:ptCount val="2"/>
                <c:pt idx="0">
                  <c:v>Female</c:v>
                </c:pt>
                <c:pt idx="1">
                  <c:v>Male</c:v>
                </c:pt>
              </c:strCache>
            </c:strRef>
          </c:cat>
          <c:val>
            <c:numRef>
              <c:f>'Pivot Report'!$B$70:$B$72</c:f>
              <c:numCache>
                <c:formatCode>0.00</c:formatCode>
                <c:ptCount val="2"/>
                <c:pt idx="0">
                  <c:v>261</c:v>
                </c:pt>
                <c:pt idx="1">
                  <c:v>219</c:v>
                </c:pt>
              </c:numCache>
            </c:numRef>
          </c:val>
          <c:extLst>
            <c:ext xmlns:c16="http://schemas.microsoft.com/office/drawing/2014/chart" uri="{C3380CC4-5D6E-409C-BE32-E72D297353CC}">
              <c16:uniqueId val="{00000007-FC21-4AAB-9D97-146E1A688454}"/>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r"/>
      <c:layout>
        <c:manualLayout>
          <c:xMode val="edge"/>
          <c:yMode val="edge"/>
          <c:x val="6.9170600509227617E-2"/>
          <c:y val="1.3642881127102208E-2"/>
          <c:w val="0.76408510979546074"/>
          <c:h val="0.1476894612235174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 Project.xlsx]Pivot Report!PivotTable11</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487266182872748"/>
          <c:y val="7.8732783721006297E-2"/>
          <c:w val="0.59840537282854056"/>
          <c:h val="0.82887435790303154"/>
        </c:manualLayout>
      </c:layout>
      <c:barChart>
        <c:barDir val="bar"/>
        <c:grouping val="clustered"/>
        <c:varyColors val="0"/>
        <c:ser>
          <c:idx val="0"/>
          <c:order val="0"/>
          <c:tx>
            <c:strRef>
              <c:f>'Pivot Report'!$B$75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Report'!$A$76:$A$84</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Report'!$B$76:$B$84</c:f>
              <c:numCache>
                <c:formatCode>0.00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3-FB90-4D9D-9EA1-5BB6017E51A9}"/>
            </c:ext>
          </c:extLst>
        </c:ser>
        <c:dLbls>
          <c:showLegendKey val="0"/>
          <c:showVal val="0"/>
          <c:showCatName val="0"/>
          <c:showSerName val="0"/>
          <c:showPercent val="0"/>
          <c:showBubbleSize val="0"/>
        </c:dLbls>
        <c:gapWidth val="90"/>
        <c:axId val="503468191"/>
        <c:axId val="503467711"/>
      </c:barChart>
      <c:catAx>
        <c:axId val="503468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03467711"/>
        <c:crosses val="autoZero"/>
        <c:auto val="1"/>
        <c:lblAlgn val="ctr"/>
        <c:lblOffset val="100"/>
        <c:noMultiLvlLbl val="0"/>
      </c:catAx>
      <c:valAx>
        <c:axId val="503467711"/>
        <c:scaling>
          <c:orientation val="minMax"/>
        </c:scaling>
        <c:delete val="1"/>
        <c:axPos val="b"/>
        <c:numFmt formatCode="0.00" sourceLinked="1"/>
        <c:majorTickMark val="none"/>
        <c:minorTickMark val="none"/>
        <c:tickLblPos val="nextTo"/>
        <c:crossAx val="50346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 Project.xlsx]Pivot Report!PivotTable6</c:name>
    <c:fmtId val="2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Report'!$K$5:$K$35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Report'!$L$5:$L$35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2-D99D-410F-A1F3-1624C5EEA60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33166287"/>
        <c:axId val="533167247"/>
      </c:areaChart>
      <c:catAx>
        <c:axId val="53316628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3167247"/>
        <c:crosses val="autoZero"/>
        <c:auto val="1"/>
        <c:lblAlgn val="ctr"/>
        <c:lblOffset val="100"/>
        <c:noMultiLvlLbl val="0"/>
      </c:catAx>
      <c:valAx>
        <c:axId val="533167247"/>
        <c:scaling>
          <c:orientation val="minMax"/>
        </c:scaling>
        <c:delete val="1"/>
        <c:axPos val="l"/>
        <c:numFmt formatCode="0.00" sourceLinked="1"/>
        <c:majorTickMark val="out"/>
        <c:minorTickMark val="none"/>
        <c:tickLblPos val="nextTo"/>
        <c:crossAx val="5331662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 Project.xlsx]Pivot Report!PivotTable5</c:name>
    <c:fmtId val="1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Report'!$I$5:$I$36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2-E2A0-4E25-8A14-F7EE99BE236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64973199"/>
        <c:axId val="964977519"/>
      </c:areaChart>
      <c:catAx>
        <c:axId val="9649731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64977519"/>
        <c:crosses val="autoZero"/>
        <c:auto val="1"/>
        <c:lblAlgn val="ctr"/>
        <c:lblOffset val="100"/>
        <c:noMultiLvlLbl val="0"/>
      </c:catAx>
      <c:valAx>
        <c:axId val="964977519"/>
        <c:scaling>
          <c:orientation val="minMax"/>
        </c:scaling>
        <c:delete val="1"/>
        <c:axPos val="l"/>
        <c:numFmt formatCode="0.00" sourceLinked="1"/>
        <c:majorTickMark val="out"/>
        <c:minorTickMark val="none"/>
        <c:tickLblPos val="nextTo"/>
        <c:crossAx val="9649731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Satisfaction Score daily trend '!A1"/><Relationship Id="rId17" Type="http://schemas.openxmlformats.org/officeDocument/2006/relationships/chart" Target="../charts/chart8.xml"/><Relationship Id="rId2" Type="http://schemas.openxmlformats.org/officeDocument/2006/relationships/image" Target="../media/image4.png"/><Relationship Id="rId16" Type="http://schemas.openxmlformats.org/officeDocument/2006/relationships/chart" Target="../charts/chart7.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4.xml"/><Relationship Id="rId5" Type="http://schemas.openxmlformats.org/officeDocument/2006/relationships/image" Target="../media/image7.svg"/><Relationship Id="rId15" Type="http://schemas.openxmlformats.org/officeDocument/2006/relationships/chart" Target="../charts/chart6.xml"/><Relationship Id="rId10" Type="http://schemas.openxmlformats.org/officeDocument/2006/relationships/hyperlink" Target="#'Average wait time daily trend'!A1"/><Relationship Id="rId4" Type="http://schemas.openxmlformats.org/officeDocument/2006/relationships/image" Target="../media/image6.png"/><Relationship Id="rId9" Type="http://schemas.openxmlformats.org/officeDocument/2006/relationships/chart" Target="../charts/chart3.xml"/><Relationship Id="rId14" Type="http://schemas.openxmlformats.org/officeDocument/2006/relationships/image" Target="../media/image10.emf"/></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3</xdr:col>
      <xdr:colOff>476250</xdr:colOff>
      <xdr:row>43</xdr:row>
      <xdr:rowOff>104774</xdr:rowOff>
    </xdr:from>
    <xdr:to>
      <xdr:col>5</xdr:col>
      <xdr:colOff>47625</xdr:colOff>
      <xdr:row>47</xdr:row>
      <xdr:rowOff>171450</xdr:rowOff>
    </xdr:to>
    <xdr:graphicFrame macro="">
      <xdr:nvGraphicFramePr>
        <xdr:cNvPr id="19" name="Chart 18">
          <a:extLst>
            <a:ext uri="{FF2B5EF4-FFF2-40B4-BE49-F238E27FC236}">
              <a16:creationId xmlns:a16="http://schemas.microsoft.com/office/drawing/2014/main" id="{78FAB902-CF42-89AC-0184-846FD4A5C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28574</xdr:colOff>
      <xdr:row>0</xdr:row>
      <xdr:rowOff>0</xdr:rowOff>
    </xdr:from>
    <xdr:to>
      <xdr:col>15</xdr:col>
      <xdr:colOff>514349</xdr:colOff>
      <xdr:row>14</xdr:row>
      <xdr:rowOff>180974</xdr:rowOff>
    </xdr:to>
    <xdr:graphicFrame macro="">
      <xdr:nvGraphicFramePr>
        <xdr:cNvPr id="2" name="Chart 1">
          <a:extLst>
            <a:ext uri="{FF2B5EF4-FFF2-40B4-BE49-F238E27FC236}">
              <a16:creationId xmlns:a16="http://schemas.microsoft.com/office/drawing/2014/main" id="{1616B9C9-A872-441C-BEA7-86065BBAE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0.02007</cdr:y>
    </cdr:from>
    <cdr:to>
      <cdr:x>0.07122</cdr:x>
      <cdr:y>0.26087</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0768552-FC22-29C0-98C3-3E11EB6CF74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57148"/>
          <a:ext cx="685801" cy="685801"/>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editAs="absolute">
    <xdr:from>
      <xdr:col>0</xdr:col>
      <xdr:colOff>32107</xdr:colOff>
      <xdr:row>0</xdr:row>
      <xdr:rowOff>42809</xdr:rowOff>
    </xdr:from>
    <xdr:to>
      <xdr:col>5</xdr:col>
      <xdr:colOff>310366</xdr:colOff>
      <xdr:row>2</xdr:row>
      <xdr:rowOff>187289</xdr:rowOff>
    </xdr:to>
    <xdr:sp macro="" textlink="">
      <xdr:nvSpPr>
        <xdr:cNvPr id="2" name="Rectangle: Rounded Corners 1">
          <a:extLst>
            <a:ext uri="{FF2B5EF4-FFF2-40B4-BE49-F238E27FC236}">
              <a16:creationId xmlns:a16="http://schemas.microsoft.com/office/drawing/2014/main" id="{DD444434-1366-F3DB-46AF-00BB73539AD9}"/>
            </a:ext>
          </a:extLst>
        </xdr:cNvPr>
        <xdr:cNvSpPr/>
      </xdr:nvSpPr>
      <xdr:spPr>
        <a:xfrm>
          <a:off x="32107" y="42809"/>
          <a:ext cx="3318932" cy="525480"/>
        </a:xfrm>
        <a:prstGeom prst="roundRect">
          <a:avLst>
            <a:gd name="adj" fmla="val 16667"/>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351692</xdr:colOff>
      <xdr:row>0</xdr:row>
      <xdr:rowOff>41374</xdr:rowOff>
    </xdr:from>
    <xdr:to>
      <xdr:col>7</xdr:col>
      <xdr:colOff>142228</xdr:colOff>
      <xdr:row>2</xdr:row>
      <xdr:rowOff>175845</xdr:rowOff>
    </xdr:to>
    <xdr:sp macro="" textlink="">
      <xdr:nvSpPr>
        <xdr:cNvPr id="3" name="Rectangle: Rounded Corners 2">
          <a:extLst>
            <a:ext uri="{FF2B5EF4-FFF2-40B4-BE49-F238E27FC236}">
              <a16:creationId xmlns:a16="http://schemas.microsoft.com/office/drawing/2014/main" id="{7FA96AFB-36A1-94AA-C47D-D510888C81D3}"/>
            </a:ext>
          </a:extLst>
        </xdr:cNvPr>
        <xdr:cNvSpPr/>
      </xdr:nvSpPr>
      <xdr:spPr>
        <a:xfrm>
          <a:off x="3392365" y="41374"/>
          <a:ext cx="1006805" cy="515471"/>
        </a:xfrm>
        <a:prstGeom prst="roundRect">
          <a:avLst>
            <a:gd name="adj" fmla="val 16667"/>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255153</xdr:colOff>
      <xdr:row>0</xdr:row>
      <xdr:rowOff>56029</xdr:rowOff>
    </xdr:from>
    <xdr:to>
      <xdr:col>9</xdr:col>
      <xdr:colOff>374196</xdr:colOff>
      <xdr:row>7</xdr:row>
      <xdr:rowOff>61631</xdr:rowOff>
    </xdr:to>
    <xdr:sp macro="" textlink="">
      <xdr:nvSpPr>
        <xdr:cNvPr id="4" name="Rectangle: Rounded Corners 3">
          <a:extLst>
            <a:ext uri="{FF2B5EF4-FFF2-40B4-BE49-F238E27FC236}">
              <a16:creationId xmlns:a16="http://schemas.microsoft.com/office/drawing/2014/main" id="{EB271769-BC4A-E9F4-2484-58E1E330CC95}"/>
            </a:ext>
          </a:extLst>
        </xdr:cNvPr>
        <xdr:cNvSpPr/>
      </xdr:nvSpPr>
      <xdr:spPr>
        <a:xfrm>
          <a:off x="4512095" y="56029"/>
          <a:ext cx="1335313" cy="1339102"/>
        </a:xfrm>
        <a:prstGeom prst="roundRect">
          <a:avLst>
            <a:gd name="adj" fmla="val 13375"/>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448454</xdr:colOff>
      <xdr:row>0</xdr:row>
      <xdr:rowOff>62834</xdr:rowOff>
    </xdr:from>
    <xdr:to>
      <xdr:col>11</xdr:col>
      <xdr:colOff>469446</xdr:colOff>
      <xdr:row>7</xdr:row>
      <xdr:rowOff>68436</xdr:rowOff>
    </xdr:to>
    <xdr:sp macro="" textlink="">
      <xdr:nvSpPr>
        <xdr:cNvPr id="5" name="Rectangle: Rounded Corners 4">
          <a:extLst>
            <a:ext uri="{FF2B5EF4-FFF2-40B4-BE49-F238E27FC236}">
              <a16:creationId xmlns:a16="http://schemas.microsoft.com/office/drawing/2014/main" id="{B9CFA454-FA4E-D502-5351-36952616713E}"/>
            </a:ext>
          </a:extLst>
        </xdr:cNvPr>
        <xdr:cNvSpPr/>
      </xdr:nvSpPr>
      <xdr:spPr>
        <a:xfrm>
          <a:off x="5921666" y="62834"/>
          <a:ext cx="1237261" cy="1339102"/>
        </a:xfrm>
        <a:prstGeom prst="roundRect">
          <a:avLst>
            <a:gd name="adj" fmla="val 13114"/>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32106</xdr:colOff>
      <xdr:row>3</xdr:row>
      <xdr:rowOff>54013</xdr:rowOff>
    </xdr:from>
    <xdr:to>
      <xdr:col>1</xdr:col>
      <xdr:colOff>238124</xdr:colOff>
      <xdr:row>15</xdr:row>
      <xdr:rowOff>142874</xdr:rowOff>
    </xdr:to>
    <xdr:sp macro="" textlink="">
      <xdr:nvSpPr>
        <xdr:cNvPr id="6" name="Rectangle: Rounded Corners 5">
          <a:extLst>
            <a:ext uri="{FF2B5EF4-FFF2-40B4-BE49-F238E27FC236}">
              <a16:creationId xmlns:a16="http://schemas.microsoft.com/office/drawing/2014/main" id="{CE95D2B1-9DAC-E6CF-150A-590C40FAADBB}"/>
            </a:ext>
          </a:extLst>
        </xdr:cNvPr>
        <xdr:cNvSpPr/>
      </xdr:nvSpPr>
      <xdr:spPr>
        <a:xfrm>
          <a:off x="32106" y="625513"/>
          <a:ext cx="818339" cy="2374861"/>
        </a:xfrm>
        <a:prstGeom prst="roundRect">
          <a:avLst>
            <a:gd name="adj" fmla="val 2406"/>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367852</xdr:colOff>
      <xdr:row>3</xdr:row>
      <xdr:rowOff>46686</xdr:rowOff>
    </xdr:from>
    <xdr:to>
      <xdr:col>3</xdr:col>
      <xdr:colOff>234300</xdr:colOff>
      <xdr:row>6</xdr:row>
      <xdr:rowOff>168519</xdr:rowOff>
    </xdr:to>
    <xdr:sp macro="" textlink="">
      <xdr:nvSpPr>
        <xdr:cNvPr id="7" name="Rectangle: Rounded Corners 6">
          <a:extLst>
            <a:ext uri="{FF2B5EF4-FFF2-40B4-BE49-F238E27FC236}">
              <a16:creationId xmlns:a16="http://schemas.microsoft.com/office/drawing/2014/main" id="{AAA472C9-848F-A975-D28B-EBD24C1F30D7}"/>
            </a:ext>
          </a:extLst>
        </xdr:cNvPr>
        <xdr:cNvSpPr/>
      </xdr:nvSpPr>
      <xdr:spPr>
        <a:xfrm>
          <a:off x="975987" y="618186"/>
          <a:ext cx="1082717" cy="693333"/>
        </a:xfrm>
        <a:prstGeom prst="roundRect">
          <a:avLst>
            <a:gd name="adj" fmla="val 2406"/>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289855</xdr:colOff>
      <xdr:row>3</xdr:row>
      <xdr:rowOff>54013</xdr:rowOff>
    </xdr:from>
    <xdr:to>
      <xdr:col>5</xdr:col>
      <xdr:colOff>156303</xdr:colOff>
      <xdr:row>6</xdr:row>
      <xdr:rowOff>175846</xdr:rowOff>
    </xdr:to>
    <xdr:sp macro="" textlink="">
      <xdr:nvSpPr>
        <xdr:cNvPr id="8" name="Rectangle: Rounded Corners 7">
          <a:extLst>
            <a:ext uri="{FF2B5EF4-FFF2-40B4-BE49-F238E27FC236}">
              <a16:creationId xmlns:a16="http://schemas.microsoft.com/office/drawing/2014/main" id="{67905EFE-C0B7-9596-CE89-B3C91E37EE0C}"/>
            </a:ext>
          </a:extLst>
        </xdr:cNvPr>
        <xdr:cNvSpPr/>
      </xdr:nvSpPr>
      <xdr:spPr>
        <a:xfrm>
          <a:off x="2114259" y="625513"/>
          <a:ext cx="1082717" cy="693333"/>
        </a:xfrm>
        <a:prstGeom prst="roundRect">
          <a:avLst>
            <a:gd name="adj" fmla="val 2406"/>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241790</xdr:colOff>
      <xdr:row>3</xdr:row>
      <xdr:rowOff>54013</xdr:rowOff>
    </xdr:from>
    <xdr:to>
      <xdr:col>7</xdr:col>
      <xdr:colOff>139213</xdr:colOff>
      <xdr:row>6</xdr:row>
      <xdr:rowOff>175846</xdr:rowOff>
    </xdr:to>
    <xdr:sp macro="" textlink="">
      <xdr:nvSpPr>
        <xdr:cNvPr id="9" name="Rectangle: Rounded Corners 8">
          <a:extLst>
            <a:ext uri="{FF2B5EF4-FFF2-40B4-BE49-F238E27FC236}">
              <a16:creationId xmlns:a16="http://schemas.microsoft.com/office/drawing/2014/main" id="{3CA0BE12-1E99-88CB-08CF-8B57BF60864A}"/>
            </a:ext>
          </a:extLst>
        </xdr:cNvPr>
        <xdr:cNvSpPr/>
      </xdr:nvSpPr>
      <xdr:spPr>
        <a:xfrm>
          <a:off x="3282463" y="625513"/>
          <a:ext cx="1113692" cy="693333"/>
        </a:xfrm>
        <a:prstGeom prst="roundRect">
          <a:avLst>
            <a:gd name="adj" fmla="val 2406"/>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351691</xdr:colOff>
      <xdr:row>7</xdr:row>
      <xdr:rowOff>29308</xdr:rowOff>
    </xdr:from>
    <xdr:to>
      <xdr:col>7</xdr:col>
      <xdr:colOff>139212</xdr:colOff>
      <xdr:row>9</xdr:row>
      <xdr:rowOff>153867</xdr:rowOff>
    </xdr:to>
    <xdr:sp macro="" textlink="">
      <xdr:nvSpPr>
        <xdr:cNvPr id="11" name="Rectangle: Rounded Corners 10">
          <a:extLst>
            <a:ext uri="{FF2B5EF4-FFF2-40B4-BE49-F238E27FC236}">
              <a16:creationId xmlns:a16="http://schemas.microsoft.com/office/drawing/2014/main" id="{E84DA0CA-3D9D-FCD4-2BB8-9FA6AC36BC1B}"/>
            </a:ext>
          </a:extLst>
        </xdr:cNvPr>
        <xdr:cNvSpPr/>
      </xdr:nvSpPr>
      <xdr:spPr>
        <a:xfrm>
          <a:off x="959826" y="1362808"/>
          <a:ext cx="3436328" cy="505559"/>
        </a:xfrm>
        <a:prstGeom prst="roundRect">
          <a:avLst>
            <a:gd name="adj" fmla="val 2406"/>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315057</xdr:colOff>
      <xdr:row>10</xdr:row>
      <xdr:rowOff>21982</xdr:rowOff>
    </xdr:from>
    <xdr:to>
      <xdr:col>7</xdr:col>
      <xdr:colOff>183173</xdr:colOff>
      <xdr:row>15</xdr:row>
      <xdr:rowOff>139212</xdr:rowOff>
    </xdr:to>
    <xdr:sp macro="" textlink="">
      <xdr:nvSpPr>
        <xdr:cNvPr id="12" name="Rectangle: Rounded Corners 11">
          <a:extLst>
            <a:ext uri="{FF2B5EF4-FFF2-40B4-BE49-F238E27FC236}">
              <a16:creationId xmlns:a16="http://schemas.microsoft.com/office/drawing/2014/main" id="{B37D1B46-C8B7-8EFA-2245-970D8CA1F06C}"/>
            </a:ext>
          </a:extLst>
        </xdr:cNvPr>
        <xdr:cNvSpPr/>
      </xdr:nvSpPr>
      <xdr:spPr>
        <a:xfrm>
          <a:off x="923192" y="1926982"/>
          <a:ext cx="3516923" cy="1069730"/>
        </a:xfrm>
        <a:prstGeom prst="roundRect">
          <a:avLst>
            <a:gd name="adj" fmla="val 7314"/>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271096</xdr:colOff>
      <xdr:row>7</xdr:row>
      <xdr:rowOff>102577</xdr:rowOff>
    </xdr:from>
    <xdr:to>
      <xdr:col>11</xdr:col>
      <xdr:colOff>469446</xdr:colOff>
      <xdr:row>15</xdr:row>
      <xdr:rowOff>146538</xdr:rowOff>
    </xdr:to>
    <xdr:sp macro="" textlink="">
      <xdr:nvSpPr>
        <xdr:cNvPr id="13" name="Rectangle: Rounded Corners 12">
          <a:extLst>
            <a:ext uri="{FF2B5EF4-FFF2-40B4-BE49-F238E27FC236}">
              <a16:creationId xmlns:a16="http://schemas.microsoft.com/office/drawing/2014/main" id="{AE9E6626-AC3B-2A13-4318-45ABEC6029F7}"/>
            </a:ext>
          </a:extLst>
        </xdr:cNvPr>
        <xdr:cNvSpPr/>
      </xdr:nvSpPr>
      <xdr:spPr>
        <a:xfrm>
          <a:off x="4528038" y="1436077"/>
          <a:ext cx="2630889" cy="1567961"/>
        </a:xfrm>
        <a:prstGeom prst="roundRect">
          <a:avLst>
            <a:gd name="adj" fmla="val 919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29308</xdr:colOff>
      <xdr:row>0</xdr:row>
      <xdr:rowOff>58615</xdr:rowOff>
    </xdr:from>
    <xdr:to>
      <xdr:col>5</xdr:col>
      <xdr:colOff>227135</xdr:colOff>
      <xdr:row>1</xdr:row>
      <xdr:rowOff>102577</xdr:rowOff>
    </xdr:to>
    <xdr:sp macro="" textlink="">
      <xdr:nvSpPr>
        <xdr:cNvPr id="14" name="TextBox 13">
          <a:extLst>
            <a:ext uri="{FF2B5EF4-FFF2-40B4-BE49-F238E27FC236}">
              <a16:creationId xmlns:a16="http://schemas.microsoft.com/office/drawing/2014/main" id="{3119FA03-0F03-DDA0-2635-90825E30E3F7}"/>
            </a:ext>
          </a:extLst>
        </xdr:cNvPr>
        <xdr:cNvSpPr txBox="1"/>
      </xdr:nvSpPr>
      <xdr:spPr>
        <a:xfrm>
          <a:off x="637443" y="58615"/>
          <a:ext cx="2630365" cy="23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Hospital Emergency</a:t>
          </a:r>
          <a:r>
            <a:rPr lang="en-IN" sz="1100" baseline="0"/>
            <a:t> Room Dashboard</a:t>
          </a:r>
          <a:endParaRPr lang="en-IN" sz="1100"/>
        </a:p>
      </xdr:txBody>
    </xdr:sp>
    <xdr:clientData/>
  </xdr:twoCellAnchor>
  <xdr:twoCellAnchor editAs="oneCell">
    <xdr:from>
      <xdr:col>0</xdr:col>
      <xdr:colOff>30353</xdr:colOff>
      <xdr:row>0</xdr:row>
      <xdr:rowOff>65942</xdr:rowOff>
    </xdr:from>
    <xdr:to>
      <xdr:col>1</xdr:col>
      <xdr:colOff>43961</xdr:colOff>
      <xdr:row>2</xdr:row>
      <xdr:rowOff>168519</xdr:rowOff>
    </xdr:to>
    <xdr:pic>
      <xdr:nvPicPr>
        <xdr:cNvPr id="16" name="Picture 15">
          <a:extLst>
            <a:ext uri="{FF2B5EF4-FFF2-40B4-BE49-F238E27FC236}">
              <a16:creationId xmlns:a16="http://schemas.microsoft.com/office/drawing/2014/main" id="{7C76C6D9-8BDA-D059-618C-DEDD37A139F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638" t="8067" r="18580" b="6451"/>
        <a:stretch>
          <a:fillRect/>
        </a:stretch>
      </xdr:blipFill>
      <xdr:spPr>
        <a:xfrm>
          <a:off x="30353" y="65942"/>
          <a:ext cx="621743" cy="483577"/>
        </a:xfrm>
        <a:prstGeom prst="rect">
          <a:avLst/>
        </a:prstGeom>
      </xdr:spPr>
    </xdr:pic>
    <xdr:clientData/>
  </xdr:twoCellAnchor>
  <xdr:twoCellAnchor editAs="absolute">
    <xdr:from>
      <xdr:col>1</xdr:col>
      <xdr:colOff>366346</xdr:colOff>
      <xdr:row>4</xdr:row>
      <xdr:rowOff>65943</xdr:rowOff>
    </xdr:from>
    <xdr:to>
      <xdr:col>3</xdr:col>
      <xdr:colOff>219808</xdr:colOff>
      <xdr:row>5</xdr:row>
      <xdr:rowOff>87922</xdr:rowOff>
    </xdr:to>
    <xdr:sp macro="" textlink="">
      <xdr:nvSpPr>
        <xdr:cNvPr id="17" name="TextBox 16">
          <a:extLst>
            <a:ext uri="{FF2B5EF4-FFF2-40B4-BE49-F238E27FC236}">
              <a16:creationId xmlns:a16="http://schemas.microsoft.com/office/drawing/2014/main" id="{ED96CF1A-90D3-7C80-859C-968AFBD241DB}"/>
            </a:ext>
          </a:extLst>
        </xdr:cNvPr>
        <xdr:cNvSpPr txBox="1"/>
      </xdr:nvSpPr>
      <xdr:spPr>
        <a:xfrm>
          <a:off x="974481" y="827943"/>
          <a:ext cx="1069731" cy="21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No.of</a:t>
          </a:r>
          <a:r>
            <a:rPr lang="en-IN" sz="800" baseline="0"/>
            <a:t> Patient</a:t>
          </a:r>
          <a:endParaRPr lang="en-IN" sz="800"/>
        </a:p>
      </xdr:txBody>
    </xdr:sp>
    <xdr:clientData/>
  </xdr:twoCellAnchor>
  <xdr:twoCellAnchor editAs="absolute">
    <xdr:from>
      <xdr:col>1</xdr:col>
      <xdr:colOff>373673</xdr:colOff>
      <xdr:row>3</xdr:row>
      <xdr:rowOff>117231</xdr:rowOff>
    </xdr:from>
    <xdr:to>
      <xdr:col>3</xdr:col>
      <xdr:colOff>219808</xdr:colOff>
      <xdr:row>4</xdr:row>
      <xdr:rowOff>131885</xdr:rowOff>
    </xdr:to>
    <xdr:sp macro="" textlink="'Pivot Report'!A5">
      <xdr:nvSpPr>
        <xdr:cNvPr id="18" name="TextBox 17">
          <a:extLst>
            <a:ext uri="{FF2B5EF4-FFF2-40B4-BE49-F238E27FC236}">
              <a16:creationId xmlns:a16="http://schemas.microsoft.com/office/drawing/2014/main" id="{A471A02C-6AD3-0AA4-3E9A-CEFAA0837512}"/>
            </a:ext>
          </a:extLst>
        </xdr:cNvPr>
        <xdr:cNvSpPr txBox="1"/>
      </xdr:nvSpPr>
      <xdr:spPr>
        <a:xfrm>
          <a:off x="981808" y="688731"/>
          <a:ext cx="1062404"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76AFF30-D111-4248-87F5-8B8AD5FEAF02}" type="TxLink">
            <a:rPr lang="en-US" sz="1100" b="0" i="0" u="none" strike="noStrike">
              <a:solidFill>
                <a:srgbClr val="000000"/>
              </a:solidFill>
              <a:latin typeface="Calibri"/>
              <a:ea typeface="Calibri"/>
              <a:cs typeface="Calibri"/>
            </a:rPr>
            <a:t>480</a:t>
          </a:fld>
          <a:endParaRPr lang="en-IN" sz="900"/>
        </a:p>
      </xdr:txBody>
    </xdr:sp>
    <xdr:clientData/>
  </xdr:twoCellAnchor>
  <xdr:twoCellAnchor editAs="absolute">
    <xdr:from>
      <xdr:col>3</xdr:col>
      <xdr:colOff>300404</xdr:colOff>
      <xdr:row>4</xdr:row>
      <xdr:rowOff>65943</xdr:rowOff>
    </xdr:from>
    <xdr:to>
      <xdr:col>5</xdr:col>
      <xdr:colOff>153866</xdr:colOff>
      <xdr:row>5</xdr:row>
      <xdr:rowOff>87922</xdr:rowOff>
    </xdr:to>
    <xdr:sp macro="" textlink="">
      <xdr:nvSpPr>
        <xdr:cNvPr id="19" name="TextBox 18">
          <a:extLst>
            <a:ext uri="{FF2B5EF4-FFF2-40B4-BE49-F238E27FC236}">
              <a16:creationId xmlns:a16="http://schemas.microsoft.com/office/drawing/2014/main" id="{B02424A3-6168-C36B-E8F8-603A49F48297}"/>
            </a:ext>
          </a:extLst>
        </xdr:cNvPr>
        <xdr:cNvSpPr txBox="1"/>
      </xdr:nvSpPr>
      <xdr:spPr>
        <a:xfrm>
          <a:off x="2124808" y="827943"/>
          <a:ext cx="1069731" cy="21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Average</a:t>
          </a:r>
          <a:r>
            <a:rPr lang="en-IN" sz="800" baseline="0"/>
            <a:t> wait Time</a:t>
          </a:r>
          <a:endParaRPr lang="en-IN" sz="800"/>
        </a:p>
      </xdr:txBody>
    </xdr:sp>
    <xdr:clientData/>
  </xdr:twoCellAnchor>
  <xdr:twoCellAnchor editAs="absolute">
    <xdr:from>
      <xdr:col>5</xdr:col>
      <xdr:colOff>271097</xdr:colOff>
      <xdr:row>4</xdr:row>
      <xdr:rowOff>73270</xdr:rowOff>
    </xdr:from>
    <xdr:to>
      <xdr:col>7</xdr:col>
      <xdr:colOff>124559</xdr:colOff>
      <xdr:row>5</xdr:row>
      <xdr:rowOff>95249</xdr:rowOff>
    </xdr:to>
    <xdr:sp macro="" textlink="">
      <xdr:nvSpPr>
        <xdr:cNvPr id="21" name="TextBox 20">
          <a:extLst>
            <a:ext uri="{FF2B5EF4-FFF2-40B4-BE49-F238E27FC236}">
              <a16:creationId xmlns:a16="http://schemas.microsoft.com/office/drawing/2014/main" id="{1744F0A4-FE79-FDB7-8412-03411D1C68C1}"/>
            </a:ext>
          </a:extLst>
        </xdr:cNvPr>
        <xdr:cNvSpPr txBox="1"/>
      </xdr:nvSpPr>
      <xdr:spPr>
        <a:xfrm>
          <a:off x="3311770" y="835270"/>
          <a:ext cx="1069731" cy="21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a:t>Patient Satisfaction</a:t>
          </a:r>
          <a:r>
            <a:rPr lang="en-IN" sz="800" b="0" baseline="0"/>
            <a:t> Score</a:t>
          </a:r>
          <a:endParaRPr lang="en-IN" sz="800" b="0"/>
        </a:p>
      </xdr:txBody>
    </xdr:sp>
    <xdr:clientData/>
  </xdr:twoCellAnchor>
  <xdr:twoCellAnchor editAs="absolute">
    <xdr:from>
      <xdr:col>5</xdr:col>
      <xdr:colOff>301695</xdr:colOff>
      <xdr:row>3</xdr:row>
      <xdr:rowOff>125121</xdr:rowOff>
    </xdr:from>
    <xdr:to>
      <xdr:col>7</xdr:col>
      <xdr:colOff>153866</xdr:colOff>
      <xdr:row>4</xdr:row>
      <xdr:rowOff>126624</xdr:rowOff>
    </xdr:to>
    <xdr:sp macro="" textlink="'Pivot Report'!A12">
      <xdr:nvSpPr>
        <xdr:cNvPr id="22" name="TextBox 21">
          <a:extLst>
            <a:ext uri="{FF2B5EF4-FFF2-40B4-BE49-F238E27FC236}">
              <a16:creationId xmlns:a16="http://schemas.microsoft.com/office/drawing/2014/main" id="{FD1CEC8A-12CB-AE9C-827C-DC64CC75FE46}"/>
            </a:ext>
          </a:extLst>
        </xdr:cNvPr>
        <xdr:cNvSpPr txBox="1"/>
      </xdr:nvSpPr>
      <xdr:spPr>
        <a:xfrm>
          <a:off x="3342368" y="696621"/>
          <a:ext cx="1068440" cy="192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F221A4E-283E-4442-A71F-F0F0A60CDA6C}" type="TxLink">
            <a:rPr lang="en-US" sz="1100" b="0" i="0" u="none" strike="noStrike">
              <a:solidFill>
                <a:srgbClr val="000000"/>
              </a:solidFill>
              <a:latin typeface="Calibri"/>
              <a:ea typeface="Calibri"/>
              <a:cs typeface="Calibri"/>
            </a:rPr>
            <a:t>5.16</a:t>
          </a:fld>
          <a:endParaRPr lang="en-IN" sz="900"/>
        </a:p>
      </xdr:txBody>
    </xdr:sp>
    <xdr:clientData/>
  </xdr:twoCellAnchor>
  <xdr:twoCellAnchor editAs="absolute">
    <xdr:from>
      <xdr:col>2</xdr:col>
      <xdr:colOff>7328</xdr:colOff>
      <xdr:row>1</xdr:row>
      <xdr:rowOff>131885</xdr:rowOff>
    </xdr:from>
    <xdr:to>
      <xdr:col>3</xdr:col>
      <xdr:colOff>337039</xdr:colOff>
      <xdr:row>2</xdr:row>
      <xdr:rowOff>109904</xdr:rowOff>
    </xdr:to>
    <xdr:sp macro="" textlink="">
      <xdr:nvSpPr>
        <xdr:cNvPr id="23" name="TextBox 22">
          <a:extLst>
            <a:ext uri="{FF2B5EF4-FFF2-40B4-BE49-F238E27FC236}">
              <a16:creationId xmlns:a16="http://schemas.microsoft.com/office/drawing/2014/main" id="{E74C9B15-B439-0D95-44CD-3AB7F9B208D7}"/>
            </a:ext>
          </a:extLst>
        </xdr:cNvPr>
        <xdr:cNvSpPr txBox="1"/>
      </xdr:nvSpPr>
      <xdr:spPr>
        <a:xfrm>
          <a:off x="1223597" y="322385"/>
          <a:ext cx="937846"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Monthly</a:t>
          </a:r>
          <a:r>
            <a:rPr lang="en-IN" sz="1050" baseline="0"/>
            <a:t> Report</a:t>
          </a:r>
          <a:endParaRPr lang="en-IN" sz="1050"/>
        </a:p>
      </xdr:txBody>
    </xdr:sp>
    <xdr:clientData/>
  </xdr:twoCellAnchor>
  <xdr:twoCellAnchor editAs="absolute">
    <xdr:from>
      <xdr:col>3</xdr:col>
      <xdr:colOff>300404</xdr:colOff>
      <xdr:row>3</xdr:row>
      <xdr:rowOff>117231</xdr:rowOff>
    </xdr:from>
    <xdr:to>
      <xdr:col>5</xdr:col>
      <xdr:colOff>146539</xdr:colOff>
      <xdr:row>4</xdr:row>
      <xdr:rowOff>131885</xdr:rowOff>
    </xdr:to>
    <xdr:sp macro="" textlink="'Pivot Report'!A9">
      <xdr:nvSpPr>
        <xdr:cNvPr id="24" name="TextBox 23">
          <a:extLst>
            <a:ext uri="{FF2B5EF4-FFF2-40B4-BE49-F238E27FC236}">
              <a16:creationId xmlns:a16="http://schemas.microsoft.com/office/drawing/2014/main" id="{AD56AA30-F764-967B-A9DD-4BB41B90E093}"/>
            </a:ext>
          </a:extLst>
        </xdr:cNvPr>
        <xdr:cNvSpPr txBox="1"/>
      </xdr:nvSpPr>
      <xdr:spPr>
        <a:xfrm>
          <a:off x="2124808" y="688731"/>
          <a:ext cx="1062404"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4905B5C-EEC3-495A-8C96-CBE57BD0B7B3}" type="TxLink">
            <a:rPr lang="en-US" sz="1100" b="0" i="0" u="none" strike="noStrike">
              <a:solidFill>
                <a:srgbClr val="000000"/>
              </a:solidFill>
              <a:latin typeface="Calibri"/>
              <a:ea typeface="Calibri"/>
              <a:cs typeface="Calibri"/>
            </a:rPr>
            <a:t>34.43</a:t>
          </a:fld>
          <a:endParaRPr lang="en-IN" sz="900"/>
        </a:p>
      </xdr:txBody>
    </xdr:sp>
    <xdr:clientData/>
  </xdr:twoCellAnchor>
  <xdr:twoCellAnchor editAs="oneCell">
    <xdr:from>
      <xdr:col>2</xdr:col>
      <xdr:colOff>526073</xdr:colOff>
      <xdr:row>3</xdr:row>
      <xdr:rowOff>58614</xdr:rowOff>
    </xdr:from>
    <xdr:to>
      <xdr:col>3</xdr:col>
      <xdr:colOff>174381</xdr:colOff>
      <xdr:row>4</xdr:row>
      <xdr:rowOff>124557</xdr:rowOff>
    </xdr:to>
    <xdr:pic>
      <xdr:nvPicPr>
        <xdr:cNvPr id="26" name="Graphic 25" descr="Male profile with solid fill">
          <a:extLst>
            <a:ext uri="{FF2B5EF4-FFF2-40B4-BE49-F238E27FC236}">
              <a16:creationId xmlns:a16="http://schemas.microsoft.com/office/drawing/2014/main" id="{C2E23863-2C1D-5827-31BC-DAEEF1CC765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42342" y="630114"/>
          <a:ext cx="256443" cy="256443"/>
        </a:xfrm>
        <a:prstGeom prst="rect">
          <a:avLst/>
        </a:prstGeom>
      </xdr:spPr>
    </xdr:pic>
    <xdr:clientData/>
  </xdr:twoCellAnchor>
  <xdr:twoCellAnchor editAs="oneCell">
    <xdr:from>
      <xdr:col>4</xdr:col>
      <xdr:colOff>452804</xdr:colOff>
      <xdr:row>3</xdr:row>
      <xdr:rowOff>65943</xdr:rowOff>
    </xdr:from>
    <xdr:to>
      <xdr:col>5</xdr:col>
      <xdr:colOff>93784</xdr:colOff>
      <xdr:row>4</xdr:row>
      <xdr:rowOff>124558</xdr:rowOff>
    </xdr:to>
    <xdr:pic>
      <xdr:nvPicPr>
        <xdr:cNvPr id="28" name="Graphic 27" descr="Hourglass Finished with solid fill">
          <a:extLst>
            <a:ext uri="{FF2B5EF4-FFF2-40B4-BE49-F238E27FC236}">
              <a16:creationId xmlns:a16="http://schemas.microsoft.com/office/drawing/2014/main" id="{144C848C-198A-FBD1-D296-5D28AE94053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85342" y="637443"/>
          <a:ext cx="249115" cy="249115"/>
        </a:xfrm>
        <a:prstGeom prst="rect">
          <a:avLst/>
        </a:prstGeom>
      </xdr:spPr>
    </xdr:pic>
    <xdr:clientData/>
  </xdr:twoCellAnchor>
  <xdr:twoCellAnchor editAs="oneCell">
    <xdr:from>
      <xdr:col>6</xdr:col>
      <xdr:colOff>460129</xdr:colOff>
      <xdr:row>3</xdr:row>
      <xdr:rowOff>73269</xdr:rowOff>
    </xdr:from>
    <xdr:to>
      <xdr:col>7</xdr:col>
      <xdr:colOff>93784</xdr:colOff>
      <xdr:row>4</xdr:row>
      <xdr:rowOff>124558</xdr:rowOff>
    </xdr:to>
    <xdr:pic>
      <xdr:nvPicPr>
        <xdr:cNvPr id="30" name="Graphic 29" descr="Customer review with solid fill">
          <a:extLst>
            <a:ext uri="{FF2B5EF4-FFF2-40B4-BE49-F238E27FC236}">
              <a16:creationId xmlns:a16="http://schemas.microsoft.com/office/drawing/2014/main" id="{C9C8BAD6-5B46-E29F-F9F2-05BC4A18FA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08937" y="644769"/>
          <a:ext cx="241789" cy="241789"/>
        </a:xfrm>
        <a:prstGeom prst="rect">
          <a:avLst/>
        </a:prstGeom>
      </xdr:spPr>
    </xdr:pic>
    <xdr:clientData/>
  </xdr:twoCellAnchor>
  <xdr:twoCellAnchor editAs="oneCell">
    <xdr:from>
      <xdr:col>0</xdr:col>
      <xdr:colOff>21980</xdr:colOff>
      <xdr:row>3</xdr:row>
      <xdr:rowOff>51288</xdr:rowOff>
    </xdr:from>
    <xdr:to>
      <xdr:col>1</xdr:col>
      <xdr:colOff>256440</xdr:colOff>
      <xdr:row>15</xdr:row>
      <xdr:rowOff>139212</xdr:rowOff>
    </xdr:to>
    <mc:AlternateContent xmlns:mc="http://schemas.openxmlformats.org/markup-compatibility/2006">
      <mc:Choice xmlns:a14="http://schemas.microsoft.com/office/drawing/2010/main" Requires="a14">
        <xdr:graphicFrame macro="">
          <xdr:nvGraphicFramePr>
            <xdr:cNvPr id="31" name="Date (Month)">
              <a:extLst>
                <a:ext uri="{FF2B5EF4-FFF2-40B4-BE49-F238E27FC236}">
                  <a16:creationId xmlns:a16="http://schemas.microsoft.com/office/drawing/2014/main" id="{01325118-209C-4470-A49A-D493019F6CA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21980" y="622788"/>
              <a:ext cx="842595" cy="2373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183173</xdr:colOff>
      <xdr:row>4</xdr:row>
      <xdr:rowOff>20516</xdr:rowOff>
    </xdr:from>
    <xdr:to>
      <xdr:col>3</xdr:col>
      <xdr:colOff>263769</xdr:colOff>
      <xdr:row>6</xdr:row>
      <xdr:rowOff>168519</xdr:rowOff>
    </xdr:to>
    <xdr:graphicFrame macro="">
      <xdr:nvGraphicFramePr>
        <xdr:cNvPr id="34" name="Chart 33">
          <a:hlinkClick xmlns:r="http://schemas.openxmlformats.org/officeDocument/2006/relationships" r:id="rId8"/>
          <a:extLst>
            <a:ext uri="{FF2B5EF4-FFF2-40B4-BE49-F238E27FC236}">
              <a16:creationId xmlns:a16="http://schemas.microsoft.com/office/drawing/2014/main" id="{18F0CF45-C65B-9F25-B7D0-FD156C262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300405</xdr:colOff>
      <xdr:row>5</xdr:row>
      <xdr:rowOff>58614</xdr:rowOff>
    </xdr:from>
    <xdr:to>
      <xdr:col>5</xdr:col>
      <xdr:colOff>161192</xdr:colOff>
      <xdr:row>6</xdr:row>
      <xdr:rowOff>183173</xdr:rowOff>
    </xdr:to>
    <xdr:graphicFrame macro="">
      <xdr:nvGraphicFramePr>
        <xdr:cNvPr id="35" name="Chart 34">
          <a:hlinkClick xmlns:r="http://schemas.openxmlformats.org/officeDocument/2006/relationships" r:id="rId10"/>
          <a:extLst>
            <a:ext uri="{FF2B5EF4-FFF2-40B4-BE49-F238E27FC236}">
              <a16:creationId xmlns:a16="http://schemas.microsoft.com/office/drawing/2014/main" id="{0D169E00-A503-4C2C-8255-4640A4394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161193</xdr:colOff>
      <xdr:row>4</xdr:row>
      <xdr:rowOff>153865</xdr:rowOff>
    </xdr:from>
    <xdr:to>
      <xdr:col>7</xdr:col>
      <xdr:colOff>227136</xdr:colOff>
      <xdr:row>7</xdr:row>
      <xdr:rowOff>80597</xdr:rowOff>
    </xdr:to>
    <xdr:graphicFrame macro="">
      <xdr:nvGraphicFramePr>
        <xdr:cNvPr id="36" name="Chart 35">
          <a:hlinkClick xmlns:r="http://schemas.openxmlformats.org/officeDocument/2006/relationships" r:id="rId12"/>
          <a:extLst>
            <a:ext uri="{FF2B5EF4-FFF2-40B4-BE49-F238E27FC236}">
              <a16:creationId xmlns:a16="http://schemas.microsoft.com/office/drawing/2014/main" id="{562950C0-F010-4373-A36C-84AA3F8DB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351692</xdr:colOff>
          <xdr:row>7</xdr:row>
          <xdr:rowOff>14655</xdr:rowOff>
        </xdr:from>
        <xdr:to>
          <xdr:col>7</xdr:col>
          <xdr:colOff>131885</xdr:colOff>
          <xdr:row>9</xdr:row>
          <xdr:rowOff>161192</xdr:rowOff>
        </xdr:to>
        <xdr:pic>
          <xdr:nvPicPr>
            <xdr:cNvPr id="48" name="Picture 47">
              <a:extLst>
                <a:ext uri="{FF2B5EF4-FFF2-40B4-BE49-F238E27FC236}">
                  <a16:creationId xmlns:a16="http://schemas.microsoft.com/office/drawing/2014/main" id="{AC390381-E599-5DE8-C559-F95C3923CE0A}"/>
                </a:ext>
              </a:extLst>
            </xdr:cNvPr>
            <xdr:cNvPicPr>
              <a:picLocks noChangeAspect="1" noChangeArrowheads="1"/>
              <a:extLst>
                <a:ext uri="{84589F7E-364E-4C9E-8A38-B11213B215E9}">
                  <a14:cameraTool cellRange="'Pivot Report'!$B$45:$E$47" spid="_x0000_s2101"/>
                </a:ext>
              </a:extLst>
            </xdr:cNvPicPr>
          </xdr:nvPicPr>
          <xdr:blipFill>
            <a:blip xmlns:r="http://schemas.openxmlformats.org/officeDocument/2006/relationships" r:embed="rId14"/>
            <a:srcRect/>
            <a:stretch>
              <a:fillRect/>
            </a:stretch>
          </xdr:blipFill>
          <xdr:spPr bwMode="auto">
            <a:xfrm>
              <a:off x="959827" y="1348155"/>
              <a:ext cx="3429000" cy="52753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337038</xdr:colOff>
      <xdr:row>10</xdr:row>
      <xdr:rowOff>29308</xdr:rowOff>
    </xdr:from>
    <xdr:to>
      <xdr:col>7</xdr:col>
      <xdr:colOff>168520</xdr:colOff>
      <xdr:row>15</xdr:row>
      <xdr:rowOff>124558</xdr:rowOff>
    </xdr:to>
    <xdr:graphicFrame macro="">
      <xdr:nvGraphicFramePr>
        <xdr:cNvPr id="49" name="Chart 48">
          <a:extLst>
            <a:ext uri="{FF2B5EF4-FFF2-40B4-BE49-F238E27FC236}">
              <a16:creationId xmlns:a16="http://schemas.microsoft.com/office/drawing/2014/main" id="{63B01C43-AED9-4A47-8BD9-C68423DFC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73270</xdr:colOff>
      <xdr:row>14</xdr:row>
      <xdr:rowOff>168519</xdr:rowOff>
    </xdr:from>
    <xdr:to>
      <xdr:col>5</xdr:col>
      <xdr:colOff>14655</xdr:colOff>
      <xdr:row>15</xdr:row>
      <xdr:rowOff>175844</xdr:rowOff>
    </xdr:to>
    <xdr:sp macro="" textlink="">
      <xdr:nvSpPr>
        <xdr:cNvPr id="50" name="TextBox 49">
          <a:extLst>
            <a:ext uri="{FF2B5EF4-FFF2-40B4-BE49-F238E27FC236}">
              <a16:creationId xmlns:a16="http://schemas.microsoft.com/office/drawing/2014/main" id="{6C18B279-3239-44E2-87E2-2AD0F1B59439}"/>
            </a:ext>
          </a:extLst>
        </xdr:cNvPr>
        <xdr:cNvSpPr txBox="1"/>
      </xdr:nvSpPr>
      <xdr:spPr>
        <a:xfrm>
          <a:off x="1897674" y="2835519"/>
          <a:ext cx="1157654" cy="19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No.of</a:t>
          </a:r>
          <a:r>
            <a:rPr lang="en-IN" sz="800" baseline="0"/>
            <a:t> Patient by age Group</a:t>
          </a:r>
          <a:endParaRPr lang="en-IN" sz="800"/>
        </a:p>
      </xdr:txBody>
    </xdr:sp>
    <xdr:clientData/>
  </xdr:twoCellAnchor>
  <xdr:twoCellAnchor>
    <xdr:from>
      <xdr:col>7</xdr:col>
      <xdr:colOff>227135</xdr:colOff>
      <xdr:row>0</xdr:row>
      <xdr:rowOff>43962</xdr:rowOff>
    </xdr:from>
    <xdr:to>
      <xdr:col>9</xdr:col>
      <xdr:colOff>381001</xdr:colOff>
      <xdr:row>7</xdr:row>
      <xdr:rowOff>58615</xdr:rowOff>
    </xdr:to>
    <xdr:graphicFrame macro="">
      <xdr:nvGraphicFramePr>
        <xdr:cNvPr id="52" name="Chart 51">
          <a:extLst>
            <a:ext uri="{FF2B5EF4-FFF2-40B4-BE49-F238E27FC236}">
              <a16:creationId xmlns:a16="http://schemas.microsoft.com/office/drawing/2014/main" id="{A0BA00B1-5068-4715-8A98-135809CD6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359021</xdr:colOff>
      <xdr:row>6</xdr:row>
      <xdr:rowOff>43962</xdr:rowOff>
    </xdr:from>
    <xdr:to>
      <xdr:col>9</xdr:col>
      <xdr:colOff>329713</xdr:colOff>
      <xdr:row>7</xdr:row>
      <xdr:rowOff>65941</xdr:rowOff>
    </xdr:to>
    <xdr:sp macro="" textlink="">
      <xdr:nvSpPr>
        <xdr:cNvPr id="53" name="TextBox 52">
          <a:extLst>
            <a:ext uri="{FF2B5EF4-FFF2-40B4-BE49-F238E27FC236}">
              <a16:creationId xmlns:a16="http://schemas.microsoft.com/office/drawing/2014/main" id="{EA2A0202-402C-4291-BA4E-4A4F067BADB4}"/>
            </a:ext>
          </a:extLst>
        </xdr:cNvPr>
        <xdr:cNvSpPr txBox="1"/>
      </xdr:nvSpPr>
      <xdr:spPr>
        <a:xfrm>
          <a:off x="4615963" y="1186962"/>
          <a:ext cx="1186962" cy="21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t> Patient Attendance Status</a:t>
          </a:r>
          <a:endParaRPr lang="en-IN" sz="800"/>
        </a:p>
      </xdr:txBody>
    </xdr:sp>
    <xdr:clientData/>
  </xdr:twoCellAnchor>
  <xdr:twoCellAnchor>
    <xdr:from>
      <xdr:col>9</xdr:col>
      <xdr:colOff>446941</xdr:colOff>
      <xdr:row>0</xdr:row>
      <xdr:rowOff>87923</xdr:rowOff>
    </xdr:from>
    <xdr:to>
      <xdr:col>11</xdr:col>
      <xdr:colOff>527538</xdr:colOff>
      <xdr:row>7</xdr:row>
      <xdr:rowOff>43960</xdr:rowOff>
    </xdr:to>
    <xdr:graphicFrame macro="">
      <xdr:nvGraphicFramePr>
        <xdr:cNvPr id="54" name="Chart 53">
          <a:extLst>
            <a:ext uri="{FF2B5EF4-FFF2-40B4-BE49-F238E27FC236}">
              <a16:creationId xmlns:a16="http://schemas.microsoft.com/office/drawing/2014/main" id="{1C2D13EC-4066-4AAF-AE28-25C660A2F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454269</xdr:colOff>
      <xdr:row>6</xdr:row>
      <xdr:rowOff>65942</xdr:rowOff>
    </xdr:from>
    <xdr:to>
      <xdr:col>11</xdr:col>
      <xdr:colOff>424962</xdr:colOff>
      <xdr:row>7</xdr:row>
      <xdr:rowOff>87921</xdr:rowOff>
    </xdr:to>
    <xdr:sp macro="" textlink="">
      <xdr:nvSpPr>
        <xdr:cNvPr id="55" name="TextBox 54">
          <a:extLst>
            <a:ext uri="{FF2B5EF4-FFF2-40B4-BE49-F238E27FC236}">
              <a16:creationId xmlns:a16="http://schemas.microsoft.com/office/drawing/2014/main" id="{18F362B4-3686-496C-9C3D-D7D6408CCC4E}"/>
            </a:ext>
          </a:extLst>
        </xdr:cNvPr>
        <xdr:cNvSpPr txBox="1"/>
      </xdr:nvSpPr>
      <xdr:spPr>
        <a:xfrm>
          <a:off x="5927481" y="1208942"/>
          <a:ext cx="1186962" cy="21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t> Gender wise Analysis</a:t>
          </a:r>
          <a:endParaRPr lang="en-IN" sz="800"/>
        </a:p>
      </xdr:txBody>
    </xdr:sp>
    <xdr:clientData/>
  </xdr:twoCellAnchor>
  <xdr:twoCellAnchor>
    <xdr:from>
      <xdr:col>7</xdr:col>
      <xdr:colOff>219808</xdr:colOff>
      <xdr:row>7</xdr:row>
      <xdr:rowOff>95249</xdr:rowOff>
    </xdr:from>
    <xdr:to>
      <xdr:col>11</xdr:col>
      <xdr:colOff>468922</xdr:colOff>
      <xdr:row>15</xdr:row>
      <xdr:rowOff>124558</xdr:rowOff>
    </xdr:to>
    <xdr:graphicFrame macro="">
      <xdr:nvGraphicFramePr>
        <xdr:cNvPr id="56" name="Chart 55">
          <a:extLst>
            <a:ext uri="{FF2B5EF4-FFF2-40B4-BE49-F238E27FC236}">
              <a16:creationId xmlns:a16="http://schemas.microsoft.com/office/drawing/2014/main" id="{FB649E30-ADFE-4E7F-9856-F83BFFD29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329710</xdr:colOff>
      <xdr:row>14</xdr:row>
      <xdr:rowOff>153865</xdr:rowOff>
    </xdr:from>
    <xdr:to>
      <xdr:col>10</xdr:col>
      <xdr:colOff>417634</xdr:colOff>
      <xdr:row>15</xdr:row>
      <xdr:rowOff>175844</xdr:rowOff>
    </xdr:to>
    <xdr:sp macro="" textlink="">
      <xdr:nvSpPr>
        <xdr:cNvPr id="57" name="TextBox 56">
          <a:extLst>
            <a:ext uri="{FF2B5EF4-FFF2-40B4-BE49-F238E27FC236}">
              <a16:creationId xmlns:a16="http://schemas.microsoft.com/office/drawing/2014/main" id="{D13083FA-3E7B-406F-ACE0-1A5DCBC1BCED}"/>
            </a:ext>
          </a:extLst>
        </xdr:cNvPr>
        <xdr:cNvSpPr txBox="1"/>
      </xdr:nvSpPr>
      <xdr:spPr>
        <a:xfrm>
          <a:off x="5194787" y="2820865"/>
          <a:ext cx="1304193" cy="21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t>No.of.Patient by Dept.Referal</a:t>
          </a:r>
          <a:endParaRPr lang="en-IN" sz="800"/>
        </a:p>
      </xdr:txBody>
    </xdr:sp>
    <xdr:clientData/>
  </xdr:twoCellAnchor>
  <xdr:twoCellAnchor editAs="oneCell">
    <xdr:from>
      <xdr:col>5</xdr:col>
      <xdr:colOff>366347</xdr:colOff>
      <xdr:row>0</xdr:row>
      <xdr:rowOff>87924</xdr:rowOff>
    </xdr:from>
    <xdr:to>
      <xdr:col>7</xdr:col>
      <xdr:colOff>102578</xdr:colOff>
      <xdr:row>2</xdr:row>
      <xdr:rowOff>138924</xdr:rowOff>
    </xdr:to>
    <mc:AlternateContent xmlns:mc="http://schemas.openxmlformats.org/markup-compatibility/2006">
      <mc:Choice xmlns:a14="http://schemas.microsoft.com/office/drawing/2010/main" Requires="a14">
        <xdr:graphicFrame macro="">
          <xdr:nvGraphicFramePr>
            <xdr:cNvPr id="58" name="Date (Year)">
              <a:extLst>
                <a:ext uri="{FF2B5EF4-FFF2-40B4-BE49-F238E27FC236}">
                  <a16:creationId xmlns:a16="http://schemas.microsoft.com/office/drawing/2014/main" id="{6241D70A-F81B-4856-8FFB-DADB67CEC64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407020" y="87924"/>
              <a:ext cx="952500" cy="4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9524</xdr:colOff>
      <xdr:row>0</xdr:row>
      <xdr:rowOff>0</xdr:rowOff>
    </xdr:from>
    <xdr:to>
      <xdr:col>15</xdr:col>
      <xdr:colOff>104775</xdr:colOff>
      <xdr:row>17</xdr:row>
      <xdr:rowOff>180974</xdr:rowOff>
    </xdr:to>
    <xdr:graphicFrame macro="">
      <xdr:nvGraphicFramePr>
        <xdr:cNvPr id="2" name="Chart 1">
          <a:extLst>
            <a:ext uri="{FF2B5EF4-FFF2-40B4-BE49-F238E27FC236}">
              <a16:creationId xmlns:a16="http://schemas.microsoft.com/office/drawing/2014/main" id="{EC9C5F6F-E7B6-4486-99FC-9211893AE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66674</xdr:colOff>
      <xdr:row>0</xdr:row>
      <xdr:rowOff>190499</xdr:rowOff>
    </xdr:from>
    <xdr:to>
      <xdr:col>1</xdr:col>
      <xdr:colOff>200025</xdr:colOff>
      <xdr:row>4</xdr:row>
      <xdr:rowOff>171450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D349D518-02A2-80AE-823A-F6C0C0C97CB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674" y="190499"/>
          <a:ext cx="742951" cy="7429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457200</xdr:colOff>
      <xdr:row>18</xdr:row>
      <xdr:rowOff>66675</xdr:rowOff>
    </xdr:to>
    <xdr:graphicFrame macro="">
      <xdr:nvGraphicFramePr>
        <xdr:cNvPr id="2" name="Chart 1">
          <a:extLst>
            <a:ext uri="{FF2B5EF4-FFF2-40B4-BE49-F238E27FC236}">
              <a16:creationId xmlns:a16="http://schemas.microsoft.com/office/drawing/2014/main" id="{986E17E1-62A2-46ED-A49F-46599BA45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0.0218</cdr:y>
    </cdr:from>
    <cdr:to>
      <cdr:x>0.09004</cdr:x>
      <cdr:y>0.25341</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4F6BCC8-1737-686D-86CF-CF717DDDFA4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76199"/>
          <a:ext cx="809625" cy="80962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A c" refreshedDate="46026.543799652776" createdVersion="5" refreshedVersion="8" minRefreshableVersion="3" recordCount="0" supportSubquery="1" supportAdvancedDrill="1" xr:uid="{BCB12383-B410-47A2-ABF6-0728FEFDC3C6}">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A c" refreshedDate="46026.543800115738" createdVersion="5" refreshedVersion="8" minRefreshableVersion="3" recordCount="0" supportSubquery="1" supportAdvancedDrill="1" xr:uid="{A993A3A7-9223-4869-A842-B87A83FC8898}">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A c" refreshedDate="46026.543800347223" createdVersion="5" refreshedVersion="8" minRefreshableVersion="3" recordCount="0" supportSubquery="1" supportAdvancedDrill="1" xr:uid="{7A53E7FC-4A44-4052-AE26-51FEFE3D95E1}">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A c" refreshedDate="46026.543801157408" createdVersion="5" refreshedVersion="8" minRefreshableVersion="3" recordCount="0" supportSubquery="1" supportAdvancedDrill="1" xr:uid="{8FA5F552-E882-43A4-A90A-C54D091CF238}">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A c" refreshedDate="46026.543802314816" createdVersion="5" refreshedVersion="8" minRefreshableVersion="3" recordCount="0" supportSubquery="1" supportAdvancedDrill="1" xr:uid="{F20401C9-03FF-440F-AE7B-1BB37F05F72F}">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A c" refreshedDate="46026.543803009263" createdVersion="5" refreshedVersion="8" minRefreshableVersion="3" recordCount="0" supportSubquery="1" supportAdvancedDrill="1" xr:uid="{19C5741D-D20E-4B46-B719-9F2E7345D6E0}">
  <cacheSource type="external" connectionId="3"/>
  <cacheFields count="4">
    <cacheField name="[Calendar_Table].[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A c" refreshedDate="46026.543803587963" createdVersion="5" refreshedVersion="8" minRefreshableVersion="3" recordCount="0" supportSubquery="1" supportAdvancedDrill="1" xr:uid="{5AB6659D-4393-4D05-BB10-F70C3A651B40}">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A c" refreshedDate="46026.543804398148" createdVersion="5" refreshedVersion="8" minRefreshableVersion="3" recordCount="0" supportSubquery="1" supportAdvancedDrill="1" xr:uid="{0EBED28B-1E1E-4B3F-989C-8C30D4B6DBE5}">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A c" refreshedDate="46026.54380486111" createdVersion="5" refreshedVersion="8" minRefreshableVersion="3" recordCount="0" supportSubquery="1" supportAdvancedDrill="1" xr:uid="{1BA5AC25-1A68-428A-98ED-3132E16A029C}">
  <cacheSource type="external" connectionId="3"/>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A c" refreshedDate="46026.543805555557" createdVersion="5" refreshedVersion="8" minRefreshableVersion="3" recordCount="0" supportSubquery="1" supportAdvancedDrill="1" xr:uid="{EF99F56C-D1BF-4AE8-A529-BAD187697FED}">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A c" refreshedDate="46026.543806250003" createdVersion="5" refreshedVersion="8" minRefreshableVersion="3" recordCount="0" supportSubquery="1" supportAdvancedDrill="1" xr:uid="{5C516B1A-0C6E-4103-9F7B-6FED3899E4FE}">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A c" refreshedDate="46026.543807175927" createdVersion="5" refreshedVersion="8" minRefreshableVersion="3" recordCount="0" supportSubquery="1" supportAdvancedDrill="1" xr:uid="{74A2D596-36DB-44E5-8A89-A43643A62709}">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A c" refreshedDate="46026.502845486109" createdVersion="3" refreshedVersion="8" minRefreshableVersion="3" recordCount="0" supportSubquery="1" supportAdvancedDrill="1" xr:uid="{FD141D71-D39C-44E9-8789-D724C22BFD32}">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03729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5C4528-EF8D-4114-9A2F-76AF0E2103B7}" name="PivotTable12" cacheId="1845" applyNumberFormats="0" applyBorderFormats="0" applyFontFormats="0" applyPatternFormats="0" applyAlignmentFormats="0" applyWidthHeightFormats="1" dataCaption="Values" tag="a6c0ef0b-8ccd-432d-bb94-b750a247f53e" updatedVersion="8" minRefreshableVersion="3" subtotalHiddenItems="1" itemPrintTitles="1" createdVersion="5" indent="0" outline="1" outlineData="1" multipleFieldFilters="0" chartFormat="21">
  <location ref="A88:A9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34">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1619F3-ED99-4AAB-8AF7-E6A3D15CA513}" name="PivotTable11" cacheId="1842" applyNumberFormats="0" applyBorderFormats="0" applyFontFormats="0" applyPatternFormats="0" applyAlignmentFormats="0" applyWidthHeightFormats="1" dataCaption="Values" tag="d4045593-9b29-4bde-83c2-a01bac13b6f7" updatedVersion="8" minRefreshableVersion="3" subtotalHiddenItems="1" itemPrintTitles="1" createdVersion="5" indent="0" outline="1" outlineData="1" multipleFieldFilters="0" chartFormat="21">
  <location ref="A75:B8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1">
    <format dxfId="135">
      <pivotArea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EF27AF-666E-4B56-8C45-16D9195AAFBC}" name="PivotTable10" cacheId="1839" applyNumberFormats="0" applyBorderFormats="0" applyFontFormats="0" applyPatternFormats="0" applyAlignmentFormats="0" applyWidthHeightFormats="1" dataCaption="Values" tag="3d6bf959-34a1-4912-ad58-fb7f1a0509db" updatedVersion="8" minRefreshableVersion="3" subtotalHiddenItems="1" itemPrintTitles="1" createdVersion="5" indent="0" outline="1" outlineData="1" multipleFieldFilters="0" chartFormat="18">
  <location ref="A69:B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36">
      <pivotArea outline="0" collapsedLevelsAreSubtotals="1"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EEF4CA-CB08-48CD-8891-5770286B4938}" name="PivotTable9" cacheId="1836" applyNumberFormats="0" applyBorderFormats="0" applyFontFormats="0" applyPatternFormats="0" applyAlignmentFormats="0" applyWidthHeightFormats="1" dataCaption="Values" tag="07ee61db-fdaf-46a6-9e5c-89d326289c2d" updatedVersion="8" minRefreshableVersion="3" subtotalHiddenItems="1" itemPrintTitles="1" createdVersion="5" indent="0" outline="1" outlineData="1" multipleFieldFilters="0" chartFormat="14">
  <location ref="A63:B6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2">
    <format dxfId="138">
      <pivotArea outline="0" collapsedLevelsAreSubtotals="1" fieldPosition="0"/>
    </format>
    <format dxfId="137">
      <pivotArea collapsedLevelsAreSubtotals="1" fieldPosition="0">
        <references count="1">
          <reference field="2" count="0"/>
        </references>
      </pivotArea>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 count="1" selected="0">
            <x v="0"/>
          </reference>
        </references>
      </pivotArea>
    </chartFormat>
    <chartFormat chart="12"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A084DC-99DE-42C9-BC73-CFB29512EF94}" name="PivotTable8" cacheId="1833" applyNumberFormats="0" applyBorderFormats="0" applyFontFormats="0" applyPatternFormats="0" applyAlignmentFormats="0" applyWidthHeightFormats="1" dataCaption="Values" tag="af239784-8f7f-46b6-b2a1-59cb51d8f4c0" updatedVersion="8" minRefreshableVersion="3" subtotalHiddenItems="1" itemPrintTitles="1" createdVersion="5" indent="0" outline="1" outlineData="1" multipleFieldFilters="0" chartFormat="4">
  <location ref="A50: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40">
      <pivotArea outline="0" collapsedLevelsAreSubtotals="1" fieldPosition="0"/>
    </format>
    <format dxfId="139">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D8D83B-EB6A-42E0-9910-45FE58CD041D}" name="PivotTable7" cacheId="1830" applyNumberFormats="0" applyBorderFormats="0" applyFontFormats="0" applyPatternFormats="0" applyAlignmentFormats="0" applyWidthHeightFormats="1" dataCaption="Values" tag="c04c7389-cfab-4e87-9adc-b162029e1758" updatedVersion="8" minRefreshableVersion="3" subtotalHiddenItems="1" itemPrintTitles="1" createdVersion="5" indent="0" outline="1" outlineData="1" multipleFieldFilters="0" chartFormat="2">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41">
      <pivotArea outline="0" collapsedLevelsAreSubtotals="1" fieldPosition="0"/>
    </format>
    <format dxfId="142">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66CE8F-D7A8-438F-BE0E-07CEE46F2E8C}" name="PivotTable6" cacheId="1827" applyNumberFormats="0" applyBorderFormats="0" applyFontFormats="0" applyPatternFormats="0" applyAlignmentFormats="0" applyWidthHeightFormats="1" dataCaption="Values" tag="f6fc442d-7f4e-4cb2-b42f-80f3df16628f" updatedVersion="8" minRefreshableVersion="3" subtotalHiddenItems="1" itemPrintTitles="1" createdVersion="5" indent="0" outline="1" outlineData="1" multipleFieldFilters="0" chartFormat="26">
  <location ref="K4:L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43">
      <pivotArea collapsedLevelsAreSubtotals="1" fieldPosition="0">
        <references count="1">
          <reference field="0" count="0"/>
        </references>
      </pivotArea>
    </format>
  </formats>
  <chartFormats count="2">
    <chartFormat chart="21"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B26375-4540-473B-B807-BEA6703049A1}" name="PivotTable5" cacheId="1824" applyNumberFormats="0" applyBorderFormats="0" applyFontFormats="0" applyPatternFormats="0" applyAlignmentFormats="0" applyWidthHeightFormats="1" dataCaption="Values" tag="db39cce3-703b-4345-9c42-f9172bbf5d51" updatedVersion="8" minRefreshableVersion="3" subtotalHiddenItems="1" itemPrintTitles="1" createdVersion="5" indent="0" outline="1" outlineData="1" multipleFieldFilters="0" chartFormat="19">
  <location ref="H4:I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144">
      <pivotArea collapsedLevelsAreSubtotals="1" fieldPosition="0">
        <references count="1">
          <reference field="0" count="0"/>
        </references>
      </pivotArea>
    </format>
  </formats>
  <chartFormats count="2">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8B2BD5-3AFE-4E75-8538-6B0FBFFD5807}" name="PivotTable4" cacheId="1812" applyNumberFormats="0" applyBorderFormats="0" applyFontFormats="0" applyPatternFormats="0" applyAlignmentFormats="0" applyWidthHeightFormats="1" dataCaption="Values" tag="a6806f6c-c406-4006-a90c-cb705f8354f2" updatedVersion="8" minRefreshableVersion="3" subtotalHiddenItems="1" itemPrintTitles="1" createdVersion="5" indent="0" outline="1" outlineData="1" multipleFieldFilters="0" chartFormat="10">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4"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F6B5AC-C5F3-4CC4-A82D-42D4467DF6D1}" name="PivotTable3" cacheId="1821" applyNumberFormats="0" applyBorderFormats="0" applyFontFormats="0" applyPatternFormats="0" applyAlignmentFormats="0" applyWidthHeightFormats="1" dataCaption="Values" tag="a0fa0b7a-c823-4840-b263-c24874626b81" updatedVersion="8" minRefreshableVersion="3" useAutoFormatting="1"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45">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9F2C0B-DA7F-4A84-8CB2-CBA635CBD53B}" name="PivotTable2" cacheId="1818" applyNumberFormats="0" applyBorderFormats="0" applyFontFormats="0" applyPatternFormats="0" applyAlignmentFormats="0" applyWidthHeightFormats="1" dataCaption="Values" tag="f7fd2c9f-02d1-41c1-b37a-26c8958af47e" updatedVersion="8" minRefreshableVersion="3" useAutoFormatting="1"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46">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5B0696-8462-42B2-9CA7-BA51223E426C}" name="PivotTable1" cacheId="1815" applyNumberFormats="0" applyBorderFormats="0" applyFontFormats="0" applyPatternFormats="0" applyAlignmentFormats="0" applyWidthHeightFormats="1" dataCaption="Values" tag="27e25164-432a-4c55-9872-37e44d68f087"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10D2D3A-7CB7-495C-9C91-3BB006DE2395}"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90372972">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367DC9E-C329-45FC-9C8B-A492C43F2500}"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9037297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B5E702B-D73F-48B3-AC02-EADCB7B05F5C}" cache="Slicer_Date__Month" caption="Date (Month)" showCaption="0" level="1" style="My style" rowHeight="144000"/>
  <slicer name="Date (Year)" xr10:uid="{494FC325-BA84-4529-A98D-C654A19A7BEA}" cache="Slicer_Date__Year" caption="Date (Year)" columnCount="2" showCaption="0" level="1" style="My style"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626C4-1270-4D79-90C1-272FCC082937}">
  <dimension ref="A3:L90"/>
  <sheetViews>
    <sheetView topLeftCell="A37" workbookViewId="0">
      <selection activeCell="C54" sqref="C54"/>
    </sheetView>
  </sheetViews>
  <sheetFormatPr defaultRowHeight="15" x14ac:dyDescent="0.25"/>
  <cols>
    <col min="1" max="1" width="34.28515625" bestFit="1" customWidth="1"/>
    <col min="2" max="2" width="16.5703125" customWidth="1"/>
    <col min="3" max="3" width="18.140625" customWidth="1"/>
    <col min="4" max="4" width="8.42578125" customWidth="1"/>
    <col min="5" max="5" width="15" customWidth="1"/>
    <col min="8" max="8" width="17.42578125" bestFit="1" customWidth="1"/>
    <col min="9" max="9" width="21.140625" customWidth="1"/>
    <col min="11" max="11" width="13.140625" bestFit="1" customWidth="1"/>
    <col min="12" max="12" width="26.85546875" bestFit="1" customWidth="1"/>
  </cols>
  <sheetData>
    <row r="3" spans="1:12" x14ac:dyDescent="0.25">
      <c r="A3" t="s">
        <v>2</v>
      </c>
      <c r="C3" t="s">
        <v>39</v>
      </c>
      <c r="H3" t="s">
        <v>40</v>
      </c>
      <c r="K3" t="s">
        <v>41</v>
      </c>
    </row>
    <row r="4" spans="1:12" x14ac:dyDescent="0.25">
      <c r="A4" t="s">
        <v>1</v>
      </c>
      <c r="C4" s="2" t="s">
        <v>5</v>
      </c>
      <c r="D4" t="s">
        <v>1</v>
      </c>
      <c r="H4" s="2" t="s">
        <v>5</v>
      </c>
      <c r="I4" t="s">
        <v>3</v>
      </c>
      <c r="K4" s="2" t="s">
        <v>5</v>
      </c>
      <c r="L4" t="s">
        <v>4</v>
      </c>
    </row>
    <row r="5" spans="1:12" x14ac:dyDescent="0.25">
      <c r="A5" s="1">
        <v>480</v>
      </c>
      <c r="C5" s="5" t="s">
        <v>8</v>
      </c>
      <c r="D5" s="1">
        <v>20</v>
      </c>
      <c r="H5" s="5" t="s">
        <v>8</v>
      </c>
      <c r="I5" s="3">
        <v>31.5</v>
      </c>
      <c r="K5" s="5" t="s">
        <v>8</v>
      </c>
      <c r="L5" s="3">
        <v>5.5</v>
      </c>
    </row>
    <row r="6" spans="1:12" x14ac:dyDescent="0.25">
      <c r="C6" s="5" t="s">
        <v>9</v>
      </c>
      <c r="D6" s="1">
        <v>16</v>
      </c>
      <c r="H6" s="5" t="s">
        <v>9</v>
      </c>
      <c r="I6" s="3">
        <v>34.25</v>
      </c>
      <c r="K6" s="5" t="s">
        <v>9</v>
      </c>
      <c r="L6" s="3">
        <v>3.3333333333333335</v>
      </c>
    </row>
    <row r="7" spans="1:12" x14ac:dyDescent="0.25">
      <c r="C7" s="5" t="s">
        <v>10</v>
      </c>
      <c r="D7" s="1">
        <v>20</v>
      </c>
      <c r="H7" s="5" t="s">
        <v>10</v>
      </c>
      <c r="I7" s="3">
        <v>41.1</v>
      </c>
      <c r="K7" s="5" t="s">
        <v>10</v>
      </c>
      <c r="L7" s="3">
        <v>6</v>
      </c>
    </row>
    <row r="8" spans="1:12" x14ac:dyDescent="0.25">
      <c r="A8" t="s">
        <v>3</v>
      </c>
      <c r="C8" s="5" t="s">
        <v>11</v>
      </c>
      <c r="D8" s="1">
        <v>16</v>
      </c>
      <c r="H8" s="5" t="s">
        <v>11</v>
      </c>
      <c r="I8" s="3">
        <v>31</v>
      </c>
      <c r="K8" s="5" t="s">
        <v>11</v>
      </c>
      <c r="L8" s="3">
        <v>4.8</v>
      </c>
    </row>
    <row r="9" spans="1:12" x14ac:dyDescent="0.25">
      <c r="A9" s="3">
        <v>34.429166666666667</v>
      </c>
      <c r="C9" s="5" t="s">
        <v>12</v>
      </c>
      <c r="D9" s="1">
        <v>18</v>
      </c>
      <c r="H9" s="5" t="s">
        <v>12</v>
      </c>
      <c r="I9" s="3">
        <v>33.666666666666664</v>
      </c>
      <c r="K9" s="5" t="s">
        <v>12</v>
      </c>
      <c r="L9" s="3">
        <v>5.5</v>
      </c>
    </row>
    <row r="10" spans="1:12" x14ac:dyDescent="0.25">
      <c r="C10" s="5" t="s">
        <v>13</v>
      </c>
      <c r="D10" s="1">
        <v>16</v>
      </c>
      <c r="H10" s="5" t="s">
        <v>13</v>
      </c>
      <c r="I10" s="3">
        <v>34.5625</v>
      </c>
      <c r="K10" s="5" t="s">
        <v>13</v>
      </c>
      <c r="L10" s="3">
        <v>5.25</v>
      </c>
    </row>
    <row r="11" spans="1:12" x14ac:dyDescent="0.25">
      <c r="A11" t="s">
        <v>4</v>
      </c>
      <c r="C11" s="5" t="s">
        <v>14</v>
      </c>
      <c r="D11" s="1">
        <v>15</v>
      </c>
      <c r="H11" s="5" t="s">
        <v>14</v>
      </c>
      <c r="I11" s="3">
        <v>34.93333333333333</v>
      </c>
      <c r="K11" s="5" t="s">
        <v>14</v>
      </c>
      <c r="L11" s="3">
        <v>4.8</v>
      </c>
    </row>
    <row r="12" spans="1:12" x14ac:dyDescent="0.25">
      <c r="A12" s="3">
        <v>5.1640625</v>
      </c>
      <c r="C12" s="5" t="s">
        <v>15</v>
      </c>
      <c r="D12" s="1">
        <v>20</v>
      </c>
      <c r="H12" s="5" t="s">
        <v>15</v>
      </c>
      <c r="I12" s="3">
        <v>36.4</v>
      </c>
      <c r="K12" s="5" t="s">
        <v>15</v>
      </c>
      <c r="L12" s="3">
        <v>4.5</v>
      </c>
    </row>
    <row r="13" spans="1:12" x14ac:dyDescent="0.25">
      <c r="C13" s="5" t="s">
        <v>16</v>
      </c>
      <c r="D13" s="1">
        <v>20</v>
      </c>
      <c r="H13" s="5" t="s">
        <v>16</v>
      </c>
      <c r="I13" s="3">
        <v>35.549999999999997</v>
      </c>
      <c r="K13" s="5" t="s">
        <v>16</v>
      </c>
      <c r="L13" s="3">
        <v>5</v>
      </c>
    </row>
    <row r="14" spans="1:12" x14ac:dyDescent="0.25">
      <c r="C14" s="5" t="s">
        <v>17</v>
      </c>
      <c r="D14" s="1">
        <v>13</v>
      </c>
      <c r="H14" s="5" t="s">
        <v>17</v>
      </c>
      <c r="I14" s="3">
        <v>30.692307692307693</v>
      </c>
      <c r="K14" s="5" t="s">
        <v>17</v>
      </c>
      <c r="L14" s="3">
        <v>5.333333333333333</v>
      </c>
    </row>
    <row r="15" spans="1:12" x14ac:dyDescent="0.25">
      <c r="C15" s="5" t="s">
        <v>18</v>
      </c>
      <c r="D15" s="1">
        <v>18</v>
      </c>
      <c r="H15" s="5" t="s">
        <v>18</v>
      </c>
      <c r="I15" s="3">
        <v>33.611111111111114</v>
      </c>
      <c r="K15" s="5" t="s">
        <v>18</v>
      </c>
      <c r="L15" s="3">
        <v>4.4000000000000004</v>
      </c>
    </row>
    <row r="16" spans="1:12" x14ac:dyDescent="0.25">
      <c r="C16" s="5" t="s">
        <v>19</v>
      </c>
      <c r="D16" s="1">
        <v>11</v>
      </c>
      <c r="H16" s="5" t="s">
        <v>19</v>
      </c>
      <c r="I16" s="3">
        <v>37.81818181818182</v>
      </c>
      <c r="K16" s="5" t="s">
        <v>19</v>
      </c>
      <c r="L16" s="3">
        <v>3.25</v>
      </c>
    </row>
    <row r="17" spans="3:12" x14ac:dyDescent="0.25">
      <c r="C17" s="5" t="s">
        <v>20</v>
      </c>
      <c r="D17" s="1">
        <v>13</v>
      </c>
      <c r="H17" s="5" t="s">
        <v>20</v>
      </c>
      <c r="I17" s="3">
        <v>40</v>
      </c>
      <c r="K17" s="5" t="s">
        <v>20</v>
      </c>
      <c r="L17" s="3">
        <v>6</v>
      </c>
    </row>
    <row r="18" spans="3:12" x14ac:dyDescent="0.25">
      <c r="C18" s="5" t="s">
        <v>21</v>
      </c>
      <c r="D18" s="1">
        <v>14</v>
      </c>
      <c r="H18" s="5" t="s">
        <v>21</v>
      </c>
      <c r="I18" s="3">
        <v>32</v>
      </c>
      <c r="K18" s="5" t="s">
        <v>21</v>
      </c>
      <c r="L18" s="3">
        <v>3.3333333333333335</v>
      </c>
    </row>
    <row r="19" spans="3:12" x14ac:dyDescent="0.25">
      <c r="C19" s="5" t="s">
        <v>22</v>
      </c>
      <c r="D19" s="1">
        <v>7</v>
      </c>
      <c r="H19" s="5" t="s">
        <v>22</v>
      </c>
      <c r="I19" s="3">
        <v>31.857142857142858</v>
      </c>
      <c r="K19" s="5" t="s">
        <v>23</v>
      </c>
      <c r="L19" s="3">
        <v>6.7</v>
      </c>
    </row>
    <row r="20" spans="3:12" x14ac:dyDescent="0.25">
      <c r="C20" s="5" t="s">
        <v>23</v>
      </c>
      <c r="D20" s="1">
        <v>21</v>
      </c>
      <c r="H20" s="5" t="s">
        <v>23</v>
      </c>
      <c r="I20" s="3">
        <v>31.142857142857142</v>
      </c>
      <c r="K20" s="5" t="s">
        <v>24</v>
      </c>
      <c r="L20" s="3">
        <v>7.75</v>
      </c>
    </row>
    <row r="21" spans="3:12" x14ac:dyDescent="0.25">
      <c r="C21" s="5" t="s">
        <v>24</v>
      </c>
      <c r="D21" s="1">
        <v>16</v>
      </c>
      <c r="H21" s="5" t="s">
        <v>24</v>
      </c>
      <c r="I21" s="3">
        <v>29.5</v>
      </c>
      <c r="K21" s="5" t="s">
        <v>25</v>
      </c>
      <c r="L21" s="3">
        <v>5.5</v>
      </c>
    </row>
    <row r="22" spans="3:12" x14ac:dyDescent="0.25">
      <c r="C22" s="5" t="s">
        <v>25</v>
      </c>
      <c r="D22" s="1">
        <v>15</v>
      </c>
      <c r="H22" s="5" t="s">
        <v>25</v>
      </c>
      <c r="I22" s="3">
        <v>30.666666666666668</v>
      </c>
      <c r="K22" s="5" t="s">
        <v>26</v>
      </c>
      <c r="L22" s="3">
        <v>4.5</v>
      </c>
    </row>
    <row r="23" spans="3:12" x14ac:dyDescent="0.25">
      <c r="C23" s="5" t="s">
        <v>26</v>
      </c>
      <c r="D23" s="1">
        <v>15</v>
      </c>
      <c r="H23" s="5" t="s">
        <v>26</v>
      </c>
      <c r="I23" s="3">
        <v>39.06666666666667</v>
      </c>
      <c r="K23" s="5" t="s">
        <v>27</v>
      </c>
      <c r="L23" s="3">
        <v>6</v>
      </c>
    </row>
    <row r="24" spans="3:12" x14ac:dyDescent="0.25">
      <c r="C24" s="5" t="s">
        <v>27</v>
      </c>
      <c r="D24" s="1">
        <v>14</v>
      </c>
      <c r="H24" s="5" t="s">
        <v>27</v>
      </c>
      <c r="I24" s="3">
        <v>32.857142857142854</v>
      </c>
      <c r="K24" s="5" t="s">
        <v>28</v>
      </c>
      <c r="L24" s="3">
        <v>5.75</v>
      </c>
    </row>
    <row r="25" spans="3:12" x14ac:dyDescent="0.25">
      <c r="C25" s="5" t="s">
        <v>28</v>
      </c>
      <c r="D25" s="1">
        <v>16</v>
      </c>
      <c r="H25" s="5" t="s">
        <v>28</v>
      </c>
      <c r="I25" s="3">
        <v>38.3125</v>
      </c>
      <c r="K25" s="5" t="s">
        <v>29</v>
      </c>
      <c r="L25" s="3">
        <v>3.1428571428571428</v>
      </c>
    </row>
    <row r="26" spans="3:12" x14ac:dyDescent="0.25">
      <c r="C26" s="5" t="s">
        <v>29</v>
      </c>
      <c r="D26" s="1">
        <v>21</v>
      </c>
      <c r="H26" s="5" t="s">
        <v>29</v>
      </c>
      <c r="I26" s="3">
        <v>35.80952380952381</v>
      </c>
      <c r="K26" s="5" t="s">
        <v>30</v>
      </c>
      <c r="L26" s="3">
        <v>4</v>
      </c>
    </row>
    <row r="27" spans="3:12" x14ac:dyDescent="0.25">
      <c r="C27" s="5" t="s">
        <v>30</v>
      </c>
      <c r="D27" s="1">
        <v>13</v>
      </c>
      <c r="H27" s="5" t="s">
        <v>30</v>
      </c>
      <c r="I27" s="3">
        <v>33.153846153846153</v>
      </c>
      <c r="K27" s="5" t="s">
        <v>31</v>
      </c>
      <c r="L27" s="3">
        <v>6.5</v>
      </c>
    </row>
    <row r="28" spans="3:12" x14ac:dyDescent="0.25">
      <c r="C28" s="5" t="s">
        <v>31</v>
      </c>
      <c r="D28" s="1">
        <v>11</v>
      </c>
      <c r="H28" s="5" t="s">
        <v>31</v>
      </c>
      <c r="I28" s="3">
        <v>39.18181818181818</v>
      </c>
      <c r="K28" s="5" t="s">
        <v>32</v>
      </c>
      <c r="L28" s="3">
        <v>4</v>
      </c>
    </row>
    <row r="29" spans="3:12" x14ac:dyDescent="0.25">
      <c r="C29" s="5" t="s">
        <v>32</v>
      </c>
      <c r="D29" s="1">
        <v>16</v>
      </c>
      <c r="H29" s="5" t="s">
        <v>32</v>
      </c>
      <c r="I29" s="3">
        <v>36.3125</v>
      </c>
      <c r="K29" s="5" t="s">
        <v>33</v>
      </c>
      <c r="L29" s="3">
        <v>7.333333333333333</v>
      </c>
    </row>
    <row r="30" spans="3:12" x14ac:dyDescent="0.25">
      <c r="C30" s="5" t="s">
        <v>33</v>
      </c>
      <c r="D30" s="1">
        <v>11</v>
      </c>
      <c r="H30" s="5" t="s">
        <v>33</v>
      </c>
      <c r="I30" s="3">
        <v>33</v>
      </c>
      <c r="K30" s="5" t="s">
        <v>34</v>
      </c>
      <c r="L30" s="3">
        <v>5.333333333333333</v>
      </c>
    </row>
    <row r="31" spans="3:12" x14ac:dyDescent="0.25">
      <c r="C31" s="5" t="s">
        <v>34</v>
      </c>
      <c r="D31" s="1">
        <v>14</v>
      </c>
      <c r="H31" s="5" t="s">
        <v>34</v>
      </c>
      <c r="I31" s="3">
        <v>32.857142857142854</v>
      </c>
      <c r="K31" s="5" t="s">
        <v>35</v>
      </c>
      <c r="L31" s="3">
        <v>4.75</v>
      </c>
    </row>
    <row r="32" spans="3:12" x14ac:dyDescent="0.25">
      <c r="C32" s="5" t="s">
        <v>35</v>
      </c>
      <c r="D32" s="1">
        <v>10</v>
      </c>
      <c r="H32" s="5" t="s">
        <v>35</v>
      </c>
      <c r="I32" s="3">
        <v>36.799999999999997</v>
      </c>
      <c r="K32" s="5" t="s">
        <v>36</v>
      </c>
      <c r="L32" s="3">
        <v>4</v>
      </c>
    </row>
    <row r="33" spans="1:12" x14ac:dyDescent="0.25">
      <c r="C33" s="5" t="s">
        <v>36</v>
      </c>
      <c r="D33" s="1">
        <v>15</v>
      </c>
      <c r="H33" s="5" t="s">
        <v>36</v>
      </c>
      <c r="I33" s="3">
        <v>32.866666666666667</v>
      </c>
      <c r="K33" s="5" t="s">
        <v>37</v>
      </c>
      <c r="L33" s="3">
        <v>4</v>
      </c>
    </row>
    <row r="34" spans="1:12" x14ac:dyDescent="0.25">
      <c r="C34" s="5" t="s">
        <v>37</v>
      </c>
      <c r="D34" s="1">
        <v>24</v>
      </c>
      <c r="H34" s="5" t="s">
        <v>37</v>
      </c>
      <c r="I34" s="3">
        <v>32.375</v>
      </c>
      <c r="K34" s="5" t="s">
        <v>38</v>
      </c>
      <c r="L34" s="3">
        <v>8.3333333333333339</v>
      </c>
    </row>
    <row r="35" spans="1:12" x14ac:dyDescent="0.25">
      <c r="C35" s="5" t="s">
        <v>38</v>
      </c>
      <c r="D35" s="1">
        <v>11</v>
      </c>
      <c r="H35" s="5" t="s">
        <v>38</v>
      </c>
      <c r="I35" s="3">
        <v>36</v>
      </c>
      <c r="K35" s="5" t="s">
        <v>6</v>
      </c>
      <c r="L35" s="1">
        <v>5.1640625</v>
      </c>
    </row>
    <row r="36" spans="1:12" x14ac:dyDescent="0.25">
      <c r="C36" s="5" t="s">
        <v>6</v>
      </c>
      <c r="D36" s="1">
        <v>480</v>
      </c>
      <c r="H36" s="5" t="s">
        <v>6</v>
      </c>
      <c r="I36" s="1">
        <v>34.429166666666667</v>
      </c>
    </row>
    <row r="39" spans="1:12" x14ac:dyDescent="0.25">
      <c r="A39" s="2" t="s">
        <v>5</v>
      </c>
      <c r="B39" t="s">
        <v>44</v>
      </c>
      <c r="C39" t="s">
        <v>47</v>
      </c>
    </row>
    <row r="40" spans="1:12" x14ac:dyDescent="0.25">
      <c r="A40" s="5" t="s">
        <v>45</v>
      </c>
      <c r="B40" s="3">
        <v>229</v>
      </c>
      <c r="C40" s="7">
        <v>0.47708333333333336</v>
      </c>
    </row>
    <row r="41" spans="1:12" x14ac:dyDescent="0.25">
      <c r="A41" s="5" t="s">
        <v>46</v>
      </c>
      <c r="B41" s="3">
        <v>251</v>
      </c>
      <c r="C41" s="7">
        <v>0.5229166666666667</v>
      </c>
    </row>
    <row r="42" spans="1:12" x14ac:dyDescent="0.25">
      <c r="A42" s="5" t="s">
        <v>6</v>
      </c>
      <c r="B42" s="3">
        <v>480</v>
      </c>
      <c r="C42" s="7">
        <v>1</v>
      </c>
    </row>
    <row r="44" spans="1:12" ht="16.5" customHeight="1" x14ac:dyDescent="0.25"/>
    <row r="45" spans="1:12" x14ac:dyDescent="0.25">
      <c r="B45" s="11" t="s">
        <v>48</v>
      </c>
      <c r="C45" s="11" t="s">
        <v>50</v>
      </c>
      <c r="D45" s="11" t="s">
        <v>49</v>
      </c>
      <c r="E45" s="8"/>
    </row>
    <row r="46" spans="1:12" ht="13.5" customHeight="1" x14ac:dyDescent="0.25">
      <c r="B46" s="12" t="str">
        <f>A41</f>
        <v>Not Admitted</v>
      </c>
      <c r="C46" s="13">
        <f>B41</f>
        <v>251</v>
      </c>
      <c r="D46" s="14">
        <f>C41</f>
        <v>0.5229166666666667</v>
      </c>
      <c r="E46" s="9"/>
    </row>
    <row r="47" spans="1:12" ht="14.25" customHeight="1" x14ac:dyDescent="0.25">
      <c r="B47" s="12" t="str">
        <f>A40</f>
        <v>Admitted</v>
      </c>
      <c r="C47" s="13">
        <f>B40</f>
        <v>229</v>
      </c>
      <c r="D47" s="14">
        <f>C40</f>
        <v>0.47708333333333336</v>
      </c>
      <c r="E47" s="9"/>
    </row>
    <row r="49" spans="1:2" x14ac:dyDescent="0.25">
      <c r="A49" t="s">
        <v>60</v>
      </c>
    </row>
    <row r="50" spans="1:2" x14ac:dyDescent="0.25">
      <c r="A50" s="2" t="s">
        <v>5</v>
      </c>
      <c r="B50" t="s">
        <v>59</v>
      </c>
    </row>
    <row r="51" spans="1:2" x14ac:dyDescent="0.25">
      <c r="A51" s="5" t="s">
        <v>51</v>
      </c>
      <c r="B51" s="10">
        <v>63</v>
      </c>
    </row>
    <row r="52" spans="1:2" x14ac:dyDescent="0.25">
      <c r="A52" s="5" t="s">
        <v>52</v>
      </c>
      <c r="B52" s="10">
        <v>49</v>
      </c>
    </row>
    <row r="53" spans="1:2" x14ac:dyDescent="0.25">
      <c r="A53" s="5" t="s">
        <v>53</v>
      </c>
      <c r="B53" s="10">
        <v>57</v>
      </c>
    </row>
    <row r="54" spans="1:2" x14ac:dyDescent="0.25">
      <c r="A54" s="5" t="s">
        <v>54</v>
      </c>
      <c r="B54" s="10">
        <v>73</v>
      </c>
    </row>
    <row r="55" spans="1:2" x14ac:dyDescent="0.25">
      <c r="A55" s="5" t="s">
        <v>55</v>
      </c>
      <c r="B55" s="10">
        <v>63</v>
      </c>
    </row>
    <row r="56" spans="1:2" x14ac:dyDescent="0.25">
      <c r="A56" s="5" t="s">
        <v>56</v>
      </c>
      <c r="B56" s="10">
        <v>60</v>
      </c>
    </row>
    <row r="57" spans="1:2" x14ac:dyDescent="0.25">
      <c r="A57" s="5" t="s">
        <v>57</v>
      </c>
      <c r="B57" s="10">
        <v>57</v>
      </c>
    </row>
    <row r="58" spans="1:2" x14ac:dyDescent="0.25">
      <c r="A58" s="5" t="s">
        <v>58</v>
      </c>
      <c r="B58" s="10">
        <v>58</v>
      </c>
    </row>
    <row r="59" spans="1:2" x14ac:dyDescent="0.25">
      <c r="A59" s="5" t="s">
        <v>6</v>
      </c>
      <c r="B59" s="3">
        <v>480</v>
      </c>
    </row>
    <row r="62" spans="1:2" x14ac:dyDescent="0.25">
      <c r="A62" s="5" t="s">
        <v>61</v>
      </c>
    </row>
    <row r="63" spans="1:2" x14ac:dyDescent="0.25">
      <c r="A63" s="2" t="s">
        <v>5</v>
      </c>
      <c r="B63" t="s">
        <v>0</v>
      </c>
    </row>
    <row r="64" spans="1:2" x14ac:dyDescent="0.25">
      <c r="A64" s="5" t="s">
        <v>42</v>
      </c>
      <c r="B64" s="10">
        <v>282</v>
      </c>
    </row>
    <row r="65" spans="1:2" x14ac:dyDescent="0.25">
      <c r="A65" s="5" t="s">
        <v>43</v>
      </c>
      <c r="B65" s="10">
        <v>198</v>
      </c>
    </row>
    <row r="66" spans="1:2" x14ac:dyDescent="0.25">
      <c r="A66" s="5" t="s">
        <v>6</v>
      </c>
      <c r="B66" s="3">
        <v>480</v>
      </c>
    </row>
    <row r="68" spans="1:2" x14ac:dyDescent="0.25">
      <c r="A68" s="5" t="s">
        <v>65</v>
      </c>
    </row>
    <row r="69" spans="1:2" x14ac:dyDescent="0.25">
      <c r="A69" s="2" t="s">
        <v>5</v>
      </c>
      <c r="B69" t="s">
        <v>64</v>
      </c>
    </row>
    <row r="70" spans="1:2" x14ac:dyDescent="0.25">
      <c r="A70" s="5" t="s">
        <v>62</v>
      </c>
      <c r="B70" s="3">
        <v>261</v>
      </c>
    </row>
    <row r="71" spans="1:2" x14ac:dyDescent="0.25">
      <c r="A71" s="5" t="s">
        <v>63</v>
      </c>
      <c r="B71" s="3">
        <v>219</v>
      </c>
    </row>
    <row r="72" spans="1:2" x14ac:dyDescent="0.25">
      <c r="A72" s="5" t="s">
        <v>6</v>
      </c>
      <c r="B72" s="3">
        <v>480</v>
      </c>
    </row>
    <row r="74" spans="1:2" x14ac:dyDescent="0.25">
      <c r="A74" s="5" t="s">
        <v>75</v>
      </c>
    </row>
    <row r="75" spans="1:2" x14ac:dyDescent="0.25">
      <c r="A75" s="2" t="s">
        <v>5</v>
      </c>
      <c r="B75" t="s">
        <v>74</v>
      </c>
    </row>
    <row r="76" spans="1:2" x14ac:dyDescent="0.25">
      <c r="A76" s="5" t="s">
        <v>73</v>
      </c>
      <c r="B76" s="3">
        <v>6</v>
      </c>
    </row>
    <row r="77" spans="1:2" x14ac:dyDescent="0.25">
      <c r="A77" s="5" t="s">
        <v>69</v>
      </c>
      <c r="B77" s="3">
        <v>11</v>
      </c>
    </row>
    <row r="78" spans="1:2" x14ac:dyDescent="0.25">
      <c r="A78" s="5" t="s">
        <v>66</v>
      </c>
      <c r="B78" s="3">
        <v>12</v>
      </c>
    </row>
    <row r="79" spans="1:2" x14ac:dyDescent="0.25">
      <c r="A79" s="5" t="s">
        <v>67</v>
      </c>
      <c r="B79" s="3">
        <v>12</v>
      </c>
    </row>
    <row r="80" spans="1:2" x14ac:dyDescent="0.25">
      <c r="A80" s="5" t="s">
        <v>72</v>
      </c>
      <c r="B80" s="3">
        <v>20</v>
      </c>
    </row>
    <row r="81" spans="1:2" x14ac:dyDescent="0.25">
      <c r="A81" s="5" t="s">
        <v>71</v>
      </c>
      <c r="B81" s="3">
        <v>35</v>
      </c>
    </row>
    <row r="82" spans="1:2" x14ac:dyDescent="0.25">
      <c r="A82" s="5" t="s">
        <v>68</v>
      </c>
      <c r="B82" s="3">
        <v>93</v>
      </c>
    </row>
    <row r="83" spans="1:2" x14ac:dyDescent="0.25">
      <c r="A83" s="5" t="s">
        <v>70</v>
      </c>
      <c r="B83" s="3">
        <v>291</v>
      </c>
    </row>
    <row r="84" spans="1:2" x14ac:dyDescent="0.25">
      <c r="A84" s="5" t="s">
        <v>6</v>
      </c>
      <c r="B84" s="3">
        <v>480</v>
      </c>
    </row>
    <row r="88" spans="1:2" x14ac:dyDescent="0.25">
      <c r="A88" s="2" t="s">
        <v>5</v>
      </c>
    </row>
    <row r="89" spans="1:2" x14ac:dyDescent="0.25">
      <c r="A89" s="5" t="s">
        <v>7</v>
      </c>
    </row>
    <row r="90" spans="1:2" x14ac:dyDescent="0.25">
      <c r="A90" s="5" t="s">
        <v>6</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5698F-4B6E-4608-A9C2-8B6DBA88BDD9}">
  <dimension ref="A1:P24"/>
  <sheetViews>
    <sheetView workbookViewId="0"/>
  </sheetViews>
  <sheetFormatPr defaultRowHeight="15" x14ac:dyDescent="0.25"/>
  <sheetData>
    <row r="1" spans="1:16" x14ac:dyDescent="0.25">
      <c r="A1" s="6"/>
      <c r="B1" s="6"/>
      <c r="C1" s="6"/>
      <c r="D1" s="6"/>
      <c r="E1" s="6"/>
      <c r="F1" s="6"/>
      <c r="G1" s="6"/>
      <c r="H1" s="6"/>
      <c r="I1" s="6"/>
      <c r="J1" s="6"/>
      <c r="K1" s="6"/>
      <c r="L1" s="6"/>
      <c r="M1" s="6"/>
      <c r="N1" s="6"/>
      <c r="O1" s="6"/>
      <c r="P1" s="6"/>
    </row>
    <row r="2" spans="1:16" x14ac:dyDescent="0.25">
      <c r="A2" s="6"/>
      <c r="B2" s="6"/>
      <c r="C2" s="6"/>
      <c r="D2" s="6"/>
      <c r="E2" s="6"/>
      <c r="F2" s="6"/>
      <c r="G2" s="6"/>
      <c r="H2" s="6"/>
      <c r="I2" s="6"/>
      <c r="J2" s="6"/>
      <c r="K2" s="6"/>
      <c r="L2" s="6"/>
      <c r="M2" s="6"/>
      <c r="N2" s="6"/>
      <c r="O2" s="6"/>
      <c r="P2" s="6"/>
    </row>
    <row r="3" spans="1:16" x14ac:dyDescent="0.25">
      <c r="A3" s="6"/>
      <c r="B3" s="6"/>
      <c r="C3" s="6"/>
      <c r="D3" s="6"/>
      <c r="E3" s="6"/>
      <c r="F3" s="6"/>
      <c r="G3" s="6"/>
      <c r="H3" s="6"/>
      <c r="I3" s="6"/>
      <c r="J3" s="6"/>
      <c r="K3" s="6"/>
      <c r="L3" s="6"/>
      <c r="M3" s="6"/>
      <c r="N3" s="6"/>
      <c r="O3" s="6"/>
      <c r="P3" s="6"/>
    </row>
    <row r="4" spans="1:16" x14ac:dyDescent="0.25">
      <c r="A4" s="6"/>
      <c r="B4" s="6"/>
      <c r="C4" s="6"/>
      <c r="D4" s="6"/>
      <c r="E4" s="6"/>
      <c r="F4" s="6"/>
      <c r="G4" s="6"/>
      <c r="H4" s="6"/>
      <c r="I4" s="6"/>
      <c r="J4" s="6"/>
      <c r="K4" s="6"/>
      <c r="L4" s="6"/>
      <c r="M4" s="6"/>
      <c r="N4" s="6"/>
      <c r="O4" s="6"/>
      <c r="P4" s="6"/>
    </row>
    <row r="5" spans="1:16" x14ac:dyDescent="0.25">
      <c r="A5" s="6"/>
      <c r="B5" s="6"/>
      <c r="C5" s="6"/>
      <c r="D5" s="6"/>
      <c r="E5" s="6"/>
      <c r="F5" s="6"/>
      <c r="G5" s="6"/>
      <c r="H5" s="6"/>
      <c r="I5" s="6"/>
      <c r="J5" s="6"/>
      <c r="K5" s="6"/>
      <c r="L5" s="6"/>
      <c r="M5" s="6"/>
      <c r="N5" s="6"/>
      <c r="O5" s="6"/>
      <c r="P5" s="6"/>
    </row>
    <row r="6" spans="1:16" x14ac:dyDescent="0.25">
      <c r="A6" s="6"/>
      <c r="B6" s="6"/>
      <c r="C6" s="6"/>
      <c r="D6" s="6"/>
      <c r="E6" s="6"/>
      <c r="F6" s="6"/>
      <c r="G6" s="6"/>
      <c r="H6" s="6"/>
      <c r="I6" s="6"/>
      <c r="J6" s="6"/>
      <c r="K6" s="6"/>
      <c r="L6" s="6"/>
      <c r="M6" s="6"/>
      <c r="N6" s="6"/>
      <c r="O6" s="6"/>
      <c r="P6" s="6"/>
    </row>
    <row r="7" spans="1:16" x14ac:dyDescent="0.25">
      <c r="A7" s="6"/>
      <c r="B7" s="6"/>
      <c r="C7" s="6"/>
      <c r="D7" s="6"/>
      <c r="E7" s="6"/>
      <c r="F7" s="6"/>
      <c r="G7" s="6"/>
      <c r="H7" s="6"/>
      <c r="I7" s="6"/>
      <c r="J7" s="6"/>
      <c r="K7" s="6"/>
      <c r="L7" s="6"/>
      <c r="M7" s="6"/>
      <c r="N7" s="6"/>
      <c r="O7" s="6"/>
      <c r="P7" s="6"/>
    </row>
    <row r="8" spans="1:16" x14ac:dyDescent="0.25">
      <c r="A8" s="6"/>
      <c r="B8" s="6"/>
      <c r="C8" s="6"/>
      <c r="D8" s="6"/>
      <c r="E8" s="6"/>
      <c r="F8" s="6"/>
      <c r="G8" s="6"/>
      <c r="H8" s="6"/>
      <c r="I8" s="6"/>
      <c r="J8" s="6"/>
      <c r="K8" s="6"/>
      <c r="L8" s="6"/>
      <c r="M8" s="6"/>
      <c r="N8" s="6"/>
      <c r="O8" s="6"/>
      <c r="P8" s="6"/>
    </row>
    <row r="9" spans="1:16" x14ac:dyDescent="0.25">
      <c r="A9" s="6"/>
      <c r="B9" s="6"/>
      <c r="C9" s="6"/>
      <c r="D9" s="6"/>
      <c r="E9" s="6"/>
      <c r="F9" s="6"/>
      <c r="G9" s="6"/>
      <c r="H9" s="6"/>
      <c r="I9" s="6"/>
      <c r="J9" s="6"/>
      <c r="K9" s="6"/>
      <c r="L9" s="6"/>
      <c r="M9" s="6"/>
      <c r="N9" s="6"/>
      <c r="O9" s="6"/>
      <c r="P9" s="6"/>
    </row>
    <row r="10" spans="1:16" x14ac:dyDescent="0.25">
      <c r="A10" s="6"/>
      <c r="B10" s="6"/>
      <c r="C10" s="6"/>
      <c r="D10" s="6"/>
      <c r="E10" s="6"/>
      <c r="F10" s="6"/>
      <c r="G10" s="6"/>
      <c r="H10" s="6"/>
      <c r="I10" s="6"/>
      <c r="J10" s="6"/>
      <c r="K10" s="6"/>
      <c r="L10" s="6"/>
      <c r="M10" s="6"/>
      <c r="N10" s="6"/>
      <c r="O10" s="6"/>
      <c r="P10" s="6"/>
    </row>
    <row r="11" spans="1:16" x14ac:dyDescent="0.25">
      <c r="A11" s="6"/>
      <c r="B11" s="6"/>
      <c r="C11" s="6"/>
      <c r="D11" s="6"/>
      <c r="E11" s="6"/>
      <c r="F11" s="6"/>
      <c r="G11" s="6"/>
      <c r="H11" s="6"/>
      <c r="I11" s="6"/>
      <c r="J11" s="6"/>
      <c r="K11" s="6"/>
      <c r="L11" s="6"/>
      <c r="M11" s="6"/>
      <c r="N11" s="6"/>
      <c r="O11" s="6"/>
      <c r="P11" s="6"/>
    </row>
    <row r="12" spans="1:16" x14ac:dyDescent="0.25">
      <c r="A12" s="6"/>
      <c r="B12" s="6"/>
      <c r="C12" s="6"/>
      <c r="D12" s="6"/>
      <c r="E12" s="6"/>
      <c r="F12" s="6"/>
      <c r="G12" s="6"/>
      <c r="H12" s="6"/>
      <c r="I12" s="6"/>
      <c r="J12" s="6"/>
      <c r="K12" s="6"/>
      <c r="L12" s="6"/>
      <c r="M12" s="6"/>
      <c r="N12" s="6"/>
      <c r="O12" s="6"/>
      <c r="P12" s="6"/>
    </row>
    <row r="13" spans="1:16" x14ac:dyDescent="0.25">
      <c r="A13" s="6"/>
      <c r="B13" s="6"/>
      <c r="C13" s="6"/>
      <c r="D13" s="6"/>
      <c r="E13" s="6"/>
      <c r="F13" s="6"/>
      <c r="G13" s="6"/>
      <c r="H13" s="6"/>
      <c r="I13" s="6"/>
      <c r="J13" s="6"/>
      <c r="K13" s="6"/>
      <c r="L13" s="6"/>
      <c r="M13" s="6"/>
      <c r="N13" s="6"/>
      <c r="O13" s="6"/>
      <c r="P13" s="6"/>
    </row>
    <row r="14" spans="1:16" x14ac:dyDescent="0.25">
      <c r="A14" s="6"/>
      <c r="B14" s="6"/>
      <c r="C14" s="6"/>
      <c r="D14" s="6"/>
      <c r="E14" s="6"/>
      <c r="F14" s="6"/>
      <c r="G14" s="6"/>
      <c r="H14" s="6"/>
      <c r="I14" s="6"/>
      <c r="J14" s="6"/>
      <c r="K14" s="6"/>
      <c r="L14" s="6"/>
      <c r="M14" s="6"/>
      <c r="N14" s="6"/>
      <c r="O14" s="6"/>
      <c r="P14" s="6"/>
    </row>
    <row r="15" spans="1:16" x14ac:dyDescent="0.25">
      <c r="A15" s="6"/>
      <c r="B15" s="6"/>
      <c r="C15" s="6"/>
      <c r="D15" s="6"/>
      <c r="E15" s="6"/>
      <c r="F15" s="6"/>
      <c r="G15" s="6"/>
      <c r="H15" s="6"/>
      <c r="I15" s="6"/>
      <c r="J15" s="6"/>
      <c r="K15" s="6"/>
      <c r="L15" s="6"/>
      <c r="M15" s="6"/>
      <c r="N15" s="6"/>
      <c r="O15" s="6"/>
      <c r="P15" s="6"/>
    </row>
    <row r="16" spans="1:16" x14ac:dyDescent="0.25">
      <c r="A16" s="6"/>
      <c r="B16" s="6"/>
      <c r="C16" s="6"/>
      <c r="D16" s="6"/>
      <c r="E16" s="6"/>
      <c r="F16" s="6"/>
      <c r="G16" s="6"/>
      <c r="H16" s="6"/>
      <c r="I16" s="6"/>
      <c r="J16" s="6"/>
      <c r="K16" s="6"/>
      <c r="L16" s="6"/>
      <c r="M16" s="6"/>
      <c r="N16" s="6"/>
      <c r="O16" s="6"/>
      <c r="P16" s="6"/>
    </row>
    <row r="17" spans="1:16" x14ac:dyDescent="0.25">
      <c r="A17" s="6"/>
      <c r="B17" s="6"/>
      <c r="C17" s="6"/>
      <c r="D17" s="6"/>
      <c r="E17" s="6"/>
      <c r="F17" s="6"/>
      <c r="G17" s="6"/>
      <c r="H17" s="6"/>
      <c r="I17" s="6"/>
      <c r="J17" s="6"/>
      <c r="K17" s="6"/>
      <c r="L17" s="6"/>
      <c r="M17" s="6"/>
      <c r="N17" s="6"/>
      <c r="O17" s="6"/>
      <c r="P17" s="6"/>
    </row>
    <row r="18" spans="1:16" x14ac:dyDescent="0.25">
      <c r="A18" s="6"/>
      <c r="B18" s="6"/>
      <c r="C18" s="6"/>
      <c r="D18" s="6"/>
      <c r="E18" s="6"/>
      <c r="F18" s="6"/>
      <c r="G18" s="6"/>
      <c r="H18" s="6"/>
      <c r="I18" s="6"/>
      <c r="J18" s="6"/>
      <c r="K18" s="6"/>
      <c r="L18" s="6"/>
      <c r="M18" s="6"/>
      <c r="N18" s="6"/>
      <c r="O18" s="6"/>
      <c r="P18" s="6"/>
    </row>
    <row r="19" spans="1:16" x14ac:dyDescent="0.25">
      <c r="A19" s="6"/>
      <c r="B19" s="6"/>
      <c r="C19" s="6"/>
      <c r="D19" s="6"/>
      <c r="E19" s="6"/>
      <c r="F19" s="6"/>
      <c r="G19" s="6"/>
      <c r="H19" s="6"/>
      <c r="I19" s="6"/>
      <c r="J19" s="6"/>
      <c r="K19" s="6"/>
      <c r="L19" s="6"/>
      <c r="M19" s="6"/>
      <c r="N19" s="6"/>
      <c r="O19" s="6"/>
      <c r="P19" s="6"/>
    </row>
    <row r="20" spans="1:16" x14ac:dyDescent="0.25">
      <c r="A20" s="6"/>
      <c r="B20" s="6"/>
      <c r="C20" s="6"/>
      <c r="D20" s="6"/>
      <c r="E20" s="6"/>
      <c r="F20" s="6"/>
      <c r="G20" s="6"/>
      <c r="H20" s="6"/>
      <c r="I20" s="6"/>
      <c r="J20" s="6"/>
      <c r="K20" s="6"/>
      <c r="L20" s="6"/>
      <c r="M20" s="6"/>
      <c r="N20" s="6"/>
      <c r="O20" s="6"/>
      <c r="P20" s="6"/>
    </row>
    <row r="21" spans="1:16" x14ac:dyDescent="0.25">
      <c r="A21" s="6"/>
      <c r="B21" s="6"/>
      <c r="C21" s="6"/>
      <c r="D21" s="6"/>
      <c r="E21" s="6"/>
      <c r="F21" s="6"/>
      <c r="G21" s="6"/>
      <c r="H21" s="6"/>
      <c r="I21" s="6"/>
      <c r="J21" s="6"/>
      <c r="K21" s="6"/>
      <c r="L21" s="6"/>
      <c r="M21" s="6"/>
      <c r="N21" s="6"/>
      <c r="O21" s="6"/>
      <c r="P21" s="6"/>
    </row>
    <row r="22" spans="1:16" x14ac:dyDescent="0.25">
      <c r="A22" s="6"/>
      <c r="B22" s="6"/>
      <c r="C22" s="6"/>
      <c r="D22" s="6"/>
      <c r="E22" s="6"/>
      <c r="F22" s="6"/>
      <c r="G22" s="6"/>
      <c r="H22" s="6"/>
      <c r="I22" s="6"/>
      <c r="J22" s="6"/>
      <c r="K22" s="6"/>
      <c r="L22" s="6"/>
      <c r="M22" s="6"/>
      <c r="N22" s="6"/>
      <c r="O22" s="6"/>
      <c r="P22" s="6"/>
    </row>
    <row r="23" spans="1:16" x14ac:dyDescent="0.25">
      <c r="A23" s="4"/>
      <c r="B23" s="4"/>
      <c r="C23" s="4"/>
      <c r="D23" s="4"/>
      <c r="E23" s="4"/>
      <c r="F23" s="4"/>
      <c r="G23" s="4"/>
      <c r="H23" s="4"/>
      <c r="I23" s="4"/>
      <c r="J23" s="4"/>
    </row>
    <row r="24" spans="1:16" x14ac:dyDescent="0.25">
      <c r="A24" s="4"/>
      <c r="B24" s="4"/>
      <c r="C24" s="4"/>
      <c r="D24" s="4"/>
      <c r="E24" s="4"/>
      <c r="F24" s="4"/>
      <c r="G24" s="4"/>
      <c r="H24" s="4"/>
      <c r="I24" s="4"/>
      <c r="J24" s="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D1557-602B-4103-BE35-8A003BFF7C35}">
  <dimension ref="A1:R20"/>
  <sheetViews>
    <sheetView tabSelected="1" zoomScale="130" zoomScaleNormal="130" workbookViewId="0">
      <selection activeCell="M6" sqref="M6"/>
    </sheetView>
  </sheetViews>
  <sheetFormatPr defaultRowHeight="15" x14ac:dyDescent="0.25"/>
  <sheetData>
    <row r="1" spans="1:18" x14ac:dyDescent="0.25">
      <c r="A1" s="4"/>
      <c r="B1" s="4"/>
      <c r="C1" s="4"/>
      <c r="D1" s="4"/>
      <c r="E1" s="4"/>
      <c r="F1" s="4"/>
      <c r="G1" s="4"/>
      <c r="H1" s="4"/>
      <c r="I1" s="4"/>
      <c r="J1" s="4"/>
      <c r="K1" s="4"/>
      <c r="L1" s="4"/>
      <c r="M1" s="4"/>
      <c r="N1" s="4"/>
      <c r="O1" s="4"/>
      <c r="P1" s="4"/>
      <c r="Q1" s="4"/>
      <c r="R1" s="4"/>
    </row>
    <row r="2" spans="1:18" x14ac:dyDescent="0.25">
      <c r="A2" s="4"/>
      <c r="B2" s="4"/>
      <c r="C2" s="4"/>
      <c r="D2" s="4"/>
      <c r="E2" s="4"/>
      <c r="F2" s="4"/>
      <c r="G2" s="4"/>
      <c r="H2" s="4"/>
      <c r="I2" s="4"/>
      <c r="J2" s="4"/>
      <c r="K2" s="4"/>
      <c r="L2" s="4"/>
      <c r="M2" s="4"/>
      <c r="N2" s="4"/>
      <c r="O2" s="4"/>
      <c r="P2" s="4"/>
      <c r="Q2" s="4"/>
      <c r="R2" s="4"/>
    </row>
    <row r="3" spans="1:18" x14ac:dyDescent="0.25">
      <c r="A3" s="4"/>
      <c r="B3" s="4"/>
      <c r="C3" s="4"/>
      <c r="D3" s="4"/>
      <c r="E3" s="4"/>
      <c r="F3" s="4"/>
      <c r="G3" s="4"/>
      <c r="H3" s="4"/>
      <c r="I3" s="4"/>
      <c r="J3" s="4"/>
      <c r="K3" s="4"/>
      <c r="L3" s="4"/>
      <c r="M3" s="4"/>
      <c r="N3" s="4"/>
      <c r="O3" s="4"/>
      <c r="P3" s="4"/>
      <c r="Q3" s="4"/>
      <c r="R3" s="4"/>
    </row>
    <row r="4" spans="1:18" x14ac:dyDescent="0.25">
      <c r="A4" s="4"/>
      <c r="B4" s="4"/>
      <c r="C4" s="4"/>
      <c r="D4" s="4"/>
      <c r="E4" s="4"/>
      <c r="F4" s="4"/>
      <c r="G4" s="4"/>
      <c r="H4" s="4"/>
      <c r="I4" s="4"/>
      <c r="J4" s="4"/>
      <c r="K4" s="4"/>
      <c r="L4" s="4"/>
      <c r="M4" s="4"/>
      <c r="N4" s="4"/>
      <c r="O4" s="4"/>
      <c r="P4" s="4"/>
      <c r="Q4" s="4"/>
      <c r="R4" s="4"/>
    </row>
    <row r="5" spans="1:18" x14ac:dyDescent="0.25">
      <c r="A5" s="4"/>
      <c r="B5" s="4"/>
      <c r="C5" s="4"/>
      <c r="D5" s="4"/>
      <c r="E5" s="4"/>
      <c r="F5" s="4"/>
      <c r="G5" s="4"/>
      <c r="H5" s="4"/>
      <c r="I5" s="4"/>
      <c r="J5" s="4"/>
      <c r="K5" s="4"/>
      <c r="L5" s="4"/>
      <c r="M5" s="4"/>
      <c r="N5" s="4"/>
      <c r="O5" s="4"/>
      <c r="P5" s="4"/>
      <c r="Q5" s="4"/>
      <c r="R5" s="4"/>
    </row>
    <row r="6" spans="1:18" x14ac:dyDescent="0.25">
      <c r="A6" s="4"/>
      <c r="B6" s="4"/>
      <c r="C6" s="4"/>
      <c r="D6" s="4"/>
      <c r="E6" s="4"/>
      <c r="F6" s="4"/>
      <c r="G6" s="4"/>
      <c r="H6" s="4"/>
      <c r="I6" s="4"/>
      <c r="J6" s="4"/>
      <c r="K6" s="4"/>
      <c r="L6" s="4"/>
      <c r="M6" s="4"/>
      <c r="N6" s="4"/>
      <c r="O6" s="4"/>
      <c r="P6" s="4"/>
      <c r="Q6" s="4"/>
      <c r="R6" s="4"/>
    </row>
    <row r="7" spans="1:18" x14ac:dyDescent="0.25">
      <c r="A7" s="4"/>
      <c r="B7" s="4"/>
      <c r="C7" s="4"/>
      <c r="D7" s="4"/>
      <c r="E7" s="4"/>
      <c r="F7" s="4"/>
      <c r="G7" s="4"/>
      <c r="H7" s="4"/>
      <c r="I7" s="4"/>
      <c r="J7" s="4"/>
      <c r="K7" s="4"/>
      <c r="L7" s="4"/>
      <c r="M7" s="4"/>
      <c r="N7" s="4"/>
      <c r="O7" s="4"/>
      <c r="P7" s="4"/>
      <c r="Q7" s="4"/>
      <c r="R7" s="4"/>
    </row>
    <row r="8" spans="1:18" x14ac:dyDescent="0.25">
      <c r="A8" s="4"/>
      <c r="B8" s="4"/>
      <c r="C8" s="4"/>
      <c r="D8" s="4"/>
      <c r="E8" s="4"/>
      <c r="F8" s="4"/>
      <c r="G8" s="4"/>
      <c r="H8" s="4"/>
      <c r="I8" s="4"/>
      <c r="J8" s="4"/>
      <c r="K8" s="4"/>
      <c r="L8" s="4"/>
      <c r="M8" s="4"/>
      <c r="N8" s="4"/>
      <c r="O8" s="4"/>
      <c r="P8" s="4"/>
      <c r="Q8" s="4"/>
      <c r="R8" s="4"/>
    </row>
    <row r="9" spans="1:18" x14ac:dyDescent="0.25">
      <c r="A9" s="4"/>
      <c r="B9" s="4"/>
      <c r="C9" s="4"/>
      <c r="D9" s="4"/>
      <c r="E9" s="4"/>
      <c r="F9" s="4"/>
      <c r="G9" s="4"/>
      <c r="H9" s="4"/>
      <c r="I9" s="4"/>
      <c r="J9" s="4"/>
      <c r="K9" s="4"/>
      <c r="L9" s="4"/>
      <c r="M9" s="4"/>
      <c r="N9" s="4"/>
      <c r="O9" s="4"/>
      <c r="P9" s="4"/>
      <c r="Q9" s="4"/>
      <c r="R9" s="4"/>
    </row>
    <row r="10" spans="1:18" x14ac:dyDescent="0.25">
      <c r="A10" s="4"/>
      <c r="B10" s="4"/>
      <c r="C10" s="4"/>
      <c r="D10" s="4"/>
      <c r="E10" s="4"/>
      <c r="F10" s="4"/>
      <c r="G10" s="4"/>
      <c r="H10" s="4"/>
      <c r="I10" s="4"/>
      <c r="J10" s="4"/>
      <c r="K10" s="4"/>
      <c r="L10" s="4"/>
      <c r="M10" s="4"/>
      <c r="N10" s="4"/>
      <c r="O10" s="4"/>
      <c r="P10" s="4"/>
      <c r="Q10" s="4"/>
      <c r="R10" s="4"/>
    </row>
    <row r="11" spans="1:18" x14ac:dyDescent="0.25">
      <c r="A11" s="4"/>
      <c r="B11" s="4"/>
      <c r="C11" s="4"/>
      <c r="D11" s="4"/>
      <c r="E11" s="4"/>
      <c r="F11" s="4"/>
      <c r="G11" s="4"/>
      <c r="H11" s="4"/>
      <c r="I11" s="4"/>
      <c r="J11" s="4"/>
      <c r="K11" s="4"/>
      <c r="L11" s="4"/>
      <c r="M11" s="4"/>
      <c r="N11" s="4"/>
      <c r="O11" s="4"/>
      <c r="P11" s="4"/>
      <c r="Q11" s="4"/>
      <c r="R11" s="4"/>
    </row>
    <row r="12" spans="1:18" x14ac:dyDescent="0.25">
      <c r="A12" s="4"/>
      <c r="B12" s="4"/>
      <c r="C12" s="4"/>
      <c r="D12" s="4"/>
      <c r="E12" s="4"/>
      <c r="F12" s="4"/>
      <c r="G12" s="4"/>
      <c r="H12" s="4"/>
      <c r="I12" s="4"/>
      <c r="J12" s="4"/>
      <c r="K12" s="4"/>
      <c r="L12" s="4"/>
      <c r="M12" s="4"/>
      <c r="N12" s="4"/>
      <c r="O12" s="4"/>
      <c r="P12" s="4"/>
      <c r="Q12" s="4"/>
      <c r="R12" s="4"/>
    </row>
    <row r="13" spans="1:18" x14ac:dyDescent="0.25">
      <c r="A13" s="4"/>
      <c r="B13" s="4"/>
      <c r="C13" s="4"/>
      <c r="D13" s="4"/>
      <c r="E13" s="4"/>
      <c r="F13" s="4"/>
      <c r="G13" s="4"/>
      <c r="H13" s="4"/>
      <c r="I13" s="4"/>
      <c r="J13" s="4"/>
      <c r="K13" s="4"/>
      <c r="L13" s="4"/>
      <c r="M13" s="4"/>
      <c r="N13" s="4"/>
      <c r="O13" s="4"/>
      <c r="P13" s="4"/>
      <c r="Q13" s="4"/>
      <c r="R13" s="4"/>
    </row>
    <row r="14" spans="1:18" x14ac:dyDescent="0.25">
      <c r="A14" s="4"/>
      <c r="B14" s="4"/>
      <c r="C14" s="4"/>
      <c r="D14" s="4"/>
      <c r="E14" s="4"/>
      <c r="F14" s="4"/>
      <c r="G14" s="4"/>
      <c r="H14" s="4"/>
      <c r="I14" s="4"/>
      <c r="J14" s="4"/>
      <c r="K14" s="4"/>
      <c r="L14" s="4"/>
      <c r="M14" s="4"/>
      <c r="N14" s="4"/>
      <c r="O14" s="4"/>
      <c r="P14" s="4"/>
      <c r="Q14" s="4"/>
      <c r="R14" s="4"/>
    </row>
    <row r="15" spans="1:18" x14ac:dyDescent="0.25">
      <c r="A15" s="4"/>
      <c r="B15" s="4"/>
      <c r="C15" s="4"/>
      <c r="D15" s="4"/>
      <c r="E15" s="4"/>
      <c r="F15" s="4"/>
      <c r="G15" s="4"/>
      <c r="H15" s="4"/>
      <c r="I15" s="4"/>
      <c r="J15" s="4"/>
      <c r="K15" s="4"/>
      <c r="L15" s="4"/>
      <c r="M15" s="4"/>
      <c r="N15" s="4"/>
      <c r="O15" s="4"/>
      <c r="P15" s="4"/>
      <c r="Q15" s="4"/>
      <c r="R15" s="4"/>
    </row>
    <row r="16" spans="1:18" x14ac:dyDescent="0.25">
      <c r="A16" s="4"/>
      <c r="B16" s="4"/>
      <c r="C16" s="4"/>
      <c r="D16" s="4"/>
      <c r="E16" s="4"/>
      <c r="F16" s="4"/>
      <c r="G16" s="4"/>
      <c r="H16" s="4"/>
      <c r="I16" s="4"/>
      <c r="J16" s="4"/>
      <c r="K16" s="4"/>
      <c r="L16" s="4"/>
      <c r="M16" s="4"/>
      <c r="N16" s="4"/>
      <c r="O16" s="4"/>
      <c r="P16" s="4"/>
      <c r="Q16" s="4"/>
      <c r="R16" s="4"/>
    </row>
    <row r="17" spans="1:18" x14ac:dyDescent="0.25">
      <c r="A17" s="4"/>
      <c r="B17" s="4"/>
      <c r="C17" s="4"/>
      <c r="D17" s="4"/>
      <c r="E17" s="4"/>
      <c r="F17" s="4"/>
      <c r="G17" s="4"/>
      <c r="H17" s="4"/>
      <c r="I17" s="4"/>
      <c r="J17" s="4"/>
      <c r="K17" s="4"/>
      <c r="L17" s="4"/>
      <c r="M17" s="4"/>
      <c r="N17" s="4"/>
      <c r="O17" s="4"/>
      <c r="P17" s="4"/>
      <c r="Q17" s="4"/>
      <c r="R17" s="4"/>
    </row>
    <row r="18" spans="1:18" x14ac:dyDescent="0.25">
      <c r="A18" s="4"/>
      <c r="B18" s="4"/>
      <c r="C18" s="4"/>
      <c r="D18" s="4"/>
      <c r="E18" s="4"/>
      <c r="F18" s="4"/>
      <c r="G18" s="4"/>
      <c r="H18" s="4"/>
      <c r="I18" s="4"/>
      <c r="J18" s="4"/>
      <c r="K18" s="4"/>
      <c r="L18" s="4"/>
      <c r="M18" s="4"/>
      <c r="N18" s="4"/>
      <c r="O18" s="4"/>
      <c r="P18" s="4"/>
      <c r="Q18" s="4"/>
      <c r="R18" s="4"/>
    </row>
    <row r="19" spans="1:18" x14ac:dyDescent="0.25">
      <c r="A19" s="4"/>
      <c r="B19" s="4"/>
      <c r="C19" s="4"/>
      <c r="D19" s="4"/>
      <c r="E19" s="4"/>
      <c r="F19" s="4"/>
      <c r="G19" s="4"/>
      <c r="H19" s="4"/>
      <c r="I19" s="4"/>
      <c r="J19" s="4"/>
      <c r="K19" s="4"/>
      <c r="L19" s="4"/>
      <c r="M19" s="4"/>
      <c r="N19" s="4"/>
      <c r="O19" s="4"/>
      <c r="P19" s="4"/>
      <c r="Q19" s="4"/>
      <c r="R19" s="4"/>
    </row>
    <row r="20" spans="1:18" x14ac:dyDescent="0.25">
      <c r="A20" s="4"/>
      <c r="B20" s="4"/>
      <c r="C20" s="4"/>
      <c r="D20" s="4"/>
      <c r="E20" s="4"/>
      <c r="F20" s="4"/>
      <c r="G20" s="4"/>
      <c r="H20" s="4"/>
      <c r="I20" s="4"/>
      <c r="J20" s="4"/>
      <c r="K20" s="4"/>
      <c r="L20" s="4"/>
      <c r="M20" s="4"/>
      <c r="N20" s="4"/>
      <c r="O20" s="4"/>
      <c r="P20" s="4"/>
      <c r="Q20" s="4"/>
      <c r="R20" s="4"/>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AD971-C20B-4D01-AD49-38A2EE06B5C5}">
  <dimension ref="A1:Q41"/>
  <sheetViews>
    <sheetView workbookViewId="0"/>
  </sheetViews>
  <sheetFormatPr defaultRowHeight="15" x14ac:dyDescent="0.25"/>
  <sheetData>
    <row r="1" spans="1:17" x14ac:dyDescent="0.25">
      <c r="A1" s="6"/>
      <c r="B1" s="6"/>
      <c r="C1" s="6"/>
      <c r="D1" s="6"/>
      <c r="E1" s="6"/>
      <c r="F1" s="6"/>
      <c r="G1" s="6"/>
      <c r="H1" s="6"/>
      <c r="I1" s="6"/>
      <c r="J1" s="6"/>
      <c r="K1" s="6"/>
      <c r="L1" s="6"/>
      <c r="M1" s="6"/>
      <c r="N1" s="6"/>
      <c r="O1" s="6"/>
      <c r="P1" s="6"/>
      <c r="Q1" s="6"/>
    </row>
    <row r="2" spans="1:17" x14ac:dyDescent="0.25">
      <c r="A2" s="6"/>
      <c r="B2" s="6"/>
      <c r="C2" s="6"/>
      <c r="D2" s="6"/>
      <c r="E2" s="6"/>
      <c r="F2" s="6"/>
      <c r="G2" s="6"/>
      <c r="H2" s="6"/>
      <c r="I2" s="6"/>
      <c r="J2" s="6"/>
      <c r="K2" s="6"/>
      <c r="L2" s="6"/>
      <c r="M2" s="6"/>
      <c r="N2" s="6"/>
      <c r="O2" s="6"/>
      <c r="P2" s="6"/>
      <c r="Q2" s="6"/>
    </row>
    <row r="3" spans="1:17" x14ac:dyDescent="0.25">
      <c r="A3" s="6"/>
      <c r="B3" s="6"/>
      <c r="C3" s="6"/>
      <c r="D3" s="6"/>
      <c r="E3" s="6"/>
      <c r="F3" s="6"/>
      <c r="G3" s="6"/>
      <c r="H3" s="6"/>
      <c r="I3" s="6"/>
      <c r="J3" s="6"/>
      <c r="K3" s="6"/>
      <c r="L3" s="6"/>
      <c r="M3" s="6"/>
      <c r="N3" s="6"/>
      <c r="O3" s="6"/>
      <c r="P3" s="6"/>
      <c r="Q3" s="6"/>
    </row>
    <row r="4" spans="1:17" x14ac:dyDescent="0.25">
      <c r="A4" s="6"/>
      <c r="B4" s="6"/>
      <c r="C4" s="6"/>
      <c r="D4" s="6"/>
      <c r="E4" s="6"/>
      <c r="F4" s="6"/>
      <c r="G4" s="6"/>
      <c r="H4" s="6"/>
      <c r="I4" s="6"/>
      <c r="J4" s="6"/>
      <c r="K4" s="6"/>
      <c r="L4" s="6"/>
      <c r="M4" s="6"/>
      <c r="N4" s="6"/>
      <c r="O4" s="6"/>
      <c r="P4" s="6"/>
      <c r="Q4" s="6"/>
    </row>
    <row r="5" spans="1:17" x14ac:dyDescent="0.25">
      <c r="A5" s="6"/>
      <c r="B5" s="6"/>
      <c r="C5" s="6"/>
      <c r="D5" s="6"/>
      <c r="E5" s="6"/>
      <c r="F5" s="6"/>
      <c r="G5" s="6"/>
      <c r="H5" s="6"/>
      <c r="I5" s="6"/>
      <c r="J5" s="6"/>
      <c r="K5" s="6"/>
      <c r="L5" s="6"/>
      <c r="M5" s="6"/>
      <c r="N5" s="6"/>
      <c r="O5" s="6"/>
      <c r="P5" s="6"/>
      <c r="Q5" s="6"/>
    </row>
    <row r="6" spans="1:17" x14ac:dyDescent="0.25">
      <c r="A6" s="6"/>
      <c r="B6" s="6"/>
      <c r="C6" s="6"/>
      <c r="D6" s="6"/>
      <c r="E6" s="6"/>
      <c r="F6" s="6"/>
      <c r="G6" s="6"/>
      <c r="H6" s="6"/>
      <c r="I6" s="6"/>
      <c r="J6" s="6"/>
      <c r="K6" s="6"/>
      <c r="L6" s="6"/>
      <c r="M6" s="6"/>
      <c r="N6" s="6"/>
      <c r="O6" s="6"/>
      <c r="P6" s="6"/>
      <c r="Q6" s="6"/>
    </row>
    <row r="7" spans="1:17" x14ac:dyDescent="0.25">
      <c r="A7" s="6"/>
      <c r="B7" s="6"/>
      <c r="C7" s="6"/>
      <c r="D7" s="6"/>
      <c r="E7" s="6"/>
      <c r="F7" s="6"/>
      <c r="G7" s="6"/>
      <c r="H7" s="6"/>
      <c r="I7" s="6"/>
      <c r="J7" s="6"/>
      <c r="K7" s="6"/>
      <c r="L7" s="6"/>
      <c r="M7" s="6"/>
      <c r="N7" s="6"/>
      <c r="O7" s="6"/>
      <c r="P7" s="6"/>
      <c r="Q7" s="6"/>
    </row>
    <row r="8" spans="1:17" x14ac:dyDescent="0.25">
      <c r="A8" s="6"/>
      <c r="B8" s="6"/>
      <c r="C8" s="6"/>
      <c r="D8" s="6"/>
      <c r="E8" s="6"/>
      <c r="F8" s="6"/>
      <c r="G8" s="6"/>
      <c r="H8" s="6"/>
      <c r="I8" s="6"/>
      <c r="J8" s="6"/>
      <c r="K8" s="6"/>
      <c r="L8" s="6"/>
      <c r="M8" s="6"/>
      <c r="N8" s="6"/>
      <c r="O8" s="6"/>
      <c r="P8" s="6"/>
      <c r="Q8" s="6"/>
    </row>
    <row r="9" spans="1:17" x14ac:dyDescent="0.25">
      <c r="A9" s="6"/>
      <c r="B9" s="6"/>
      <c r="C9" s="6"/>
      <c r="D9" s="6"/>
      <c r="E9" s="6"/>
      <c r="F9" s="6"/>
      <c r="G9" s="6"/>
      <c r="H9" s="6"/>
      <c r="I9" s="6"/>
      <c r="J9" s="6"/>
      <c r="K9" s="6"/>
      <c r="L9" s="6"/>
      <c r="M9" s="6"/>
      <c r="N9" s="6"/>
      <c r="O9" s="6"/>
      <c r="P9" s="6"/>
      <c r="Q9" s="6"/>
    </row>
    <row r="10" spans="1:17" x14ac:dyDescent="0.25">
      <c r="A10" s="6"/>
      <c r="B10" s="6"/>
      <c r="C10" s="6"/>
      <c r="D10" s="6"/>
      <c r="E10" s="6"/>
      <c r="F10" s="6"/>
      <c r="G10" s="6"/>
      <c r="H10" s="6"/>
      <c r="I10" s="6"/>
      <c r="J10" s="6"/>
      <c r="K10" s="6"/>
      <c r="L10" s="6"/>
      <c r="M10" s="6"/>
      <c r="N10" s="6"/>
      <c r="O10" s="6"/>
      <c r="P10" s="6"/>
      <c r="Q10" s="6"/>
    </row>
    <row r="11" spans="1:17" x14ac:dyDescent="0.25">
      <c r="A11" s="6"/>
      <c r="B11" s="6"/>
      <c r="C11" s="6"/>
      <c r="D11" s="6"/>
      <c r="E11" s="6"/>
      <c r="F11" s="6"/>
      <c r="G11" s="6"/>
      <c r="H11" s="6"/>
      <c r="I11" s="6"/>
      <c r="J11" s="6"/>
      <c r="K11" s="6"/>
      <c r="L11" s="6"/>
      <c r="M11" s="6"/>
      <c r="N11" s="6"/>
      <c r="O11" s="6"/>
      <c r="P11" s="6"/>
      <c r="Q11" s="6"/>
    </row>
    <row r="12" spans="1:17" x14ac:dyDescent="0.25">
      <c r="A12" s="6"/>
      <c r="B12" s="6"/>
      <c r="C12" s="6"/>
      <c r="D12" s="6"/>
      <c r="E12" s="6"/>
      <c r="F12" s="6"/>
      <c r="G12" s="6"/>
      <c r="H12" s="6"/>
      <c r="I12" s="6"/>
      <c r="J12" s="6"/>
      <c r="K12" s="6"/>
      <c r="L12" s="6"/>
      <c r="M12" s="6"/>
      <c r="N12" s="6"/>
      <c r="O12" s="6"/>
      <c r="P12" s="6"/>
      <c r="Q12" s="6"/>
    </row>
    <row r="13" spans="1:17" x14ac:dyDescent="0.25">
      <c r="A13" s="6"/>
      <c r="B13" s="6"/>
      <c r="C13" s="6"/>
      <c r="D13" s="6"/>
      <c r="E13" s="6"/>
      <c r="F13" s="6"/>
      <c r="G13" s="6"/>
      <c r="H13" s="6"/>
      <c r="I13" s="6"/>
      <c r="J13" s="6"/>
      <c r="K13" s="6"/>
      <c r="L13" s="6"/>
      <c r="M13" s="6"/>
      <c r="N13" s="6"/>
      <c r="O13" s="6"/>
      <c r="P13" s="6"/>
      <c r="Q13" s="6"/>
    </row>
    <row r="14" spans="1:17" x14ac:dyDescent="0.25">
      <c r="A14" s="6"/>
      <c r="B14" s="6"/>
      <c r="C14" s="6"/>
      <c r="D14" s="6"/>
      <c r="E14" s="6"/>
      <c r="F14" s="6"/>
      <c r="G14" s="6"/>
      <c r="H14" s="6"/>
      <c r="I14" s="6"/>
      <c r="J14" s="6"/>
      <c r="K14" s="6"/>
      <c r="L14" s="6"/>
      <c r="M14" s="6"/>
      <c r="N14" s="6"/>
      <c r="O14" s="6"/>
      <c r="P14" s="6"/>
      <c r="Q14" s="6"/>
    </row>
    <row r="15" spans="1:17" x14ac:dyDescent="0.25">
      <c r="A15" s="6"/>
      <c r="B15" s="6"/>
      <c r="C15" s="6"/>
      <c r="D15" s="6"/>
      <c r="E15" s="6"/>
      <c r="F15" s="6"/>
      <c r="G15" s="6"/>
      <c r="H15" s="6"/>
      <c r="I15" s="6"/>
      <c r="J15" s="6"/>
      <c r="K15" s="6"/>
      <c r="L15" s="6"/>
      <c r="M15" s="6"/>
      <c r="N15" s="6"/>
      <c r="O15" s="6"/>
      <c r="P15" s="6"/>
      <c r="Q15" s="6"/>
    </row>
    <row r="16" spans="1:17" x14ac:dyDescent="0.25">
      <c r="A16" s="6"/>
      <c r="B16" s="6"/>
      <c r="C16" s="6"/>
      <c r="D16" s="6"/>
      <c r="E16" s="6"/>
      <c r="F16" s="6"/>
      <c r="G16" s="6"/>
      <c r="H16" s="6"/>
      <c r="I16" s="6"/>
      <c r="J16" s="6"/>
      <c r="K16" s="6"/>
      <c r="L16" s="6"/>
      <c r="M16" s="6"/>
      <c r="N16" s="6"/>
      <c r="O16" s="6"/>
      <c r="P16" s="6"/>
      <c r="Q16" s="6"/>
    </row>
    <row r="17" spans="1:17" x14ac:dyDescent="0.25">
      <c r="A17" s="6"/>
      <c r="B17" s="6"/>
      <c r="C17" s="6"/>
      <c r="D17" s="6"/>
      <c r="E17" s="6"/>
      <c r="F17" s="6"/>
      <c r="G17" s="6"/>
      <c r="H17" s="6"/>
      <c r="I17" s="6"/>
      <c r="J17" s="6"/>
      <c r="K17" s="6"/>
      <c r="L17" s="6"/>
      <c r="M17" s="6"/>
      <c r="N17" s="6"/>
      <c r="O17" s="6"/>
      <c r="P17" s="6"/>
      <c r="Q17" s="6"/>
    </row>
    <row r="18" spans="1:17" x14ac:dyDescent="0.25">
      <c r="A18" s="6"/>
      <c r="B18" s="6"/>
      <c r="C18" s="6"/>
      <c r="D18" s="6"/>
      <c r="E18" s="6"/>
      <c r="F18" s="6"/>
      <c r="G18" s="6"/>
      <c r="H18" s="6"/>
      <c r="I18" s="6"/>
      <c r="J18" s="6"/>
      <c r="K18" s="6"/>
      <c r="L18" s="6"/>
      <c r="M18" s="6"/>
      <c r="N18" s="6"/>
      <c r="O18" s="6"/>
      <c r="P18" s="6"/>
      <c r="Q18" s="6"/>
    </row>
    <row r="19" spans="1:17" x14ac:dyDescent="0.25">
      <c r="A19" s="6"/>
      <c r="B19" s="6"/>
      <c r="C19" s="6"/>
      <c r="D19" s="6"/>
      <c r="E19" s="6"/>
      <c r="F19" s="6"/>
      <c r="G19" s="6"/>
      <c r="H19" s="6"/>
      <c r="I19" s="6"/>
      <c r="J19" s="6"/>
      <c r="K19" s="6"/>
      <c r="L19" s="6"/>
      <c r="M19" s="6"/>
      <c r="N19" s="6"/>
      <c r="O19" s="6"/>
      <c r="P19" s="6"/>
      <c r="Q19" s="6"/>
    </row>
    <row r="20" spans="1:17" x14ac:dyDescent="0.25">
      <c r="A20" s="6"/>
      <c r="B20" s="6"/>
      <c r="C20" s="6"/>
      <c r="D20" s="6"/>
      <c r="E20" s="6"/>
      <c r="F20" s="6"/>
      <c r="G20" s="6"/>
      <c r="H20" s="6"/>
      <c r="I20" s="6"/>
      <c r="J20" s="6"/>
      <c r="K20" s="6"/>
      <c r="L20" s="6"/>
      <c r="M20" s="6"/>
      <c r="N20" s="6"/>
      <c r="O20" s="6"/>
      <c r="P20" s="6"/>
      <c r="Q20" s="6"/>
    </row>
    <row r="21" spans="1:17" x14ac:dyDescent="0.25">
      <c r="A21" s="6"/>
      <c r="B21" s="6"/>
      <c r="C21" s="6"/>
      <c r="D21" s="6"/>
      <c r="E21" s="6"/>
      <c r="F21" s="6"/>
      <c r="G21" s="6"/>
      <c r="H21" s="6"/>
      <c r="I21" s="6"/>
      <c r="J21" s="6"/>
      <c r="K21" s="6"/>
      <c r="L21" s="6"/>
      <c r="M21" s="6"/>
      <c r="N21" s="6"/>
      <c r="O21" s="6"/>
      <c r="P21" s="6"/>
      <c r="Q21" s="6"/>
    </row>
    <row r="22" spans="1:17" x14ac:dyDescent="0.25">
      <c r="A22" s="6"/>
      <c r="B22" s="6"/>
      <c r="C22" s="6"/>
      <c r="D22" s="6"/>
      <c r="E22" s="6"/>
      <c r="F22" s="6"/>
      <c r="G22" s="6"/>
      <c r="H22" s="6"/>
      <c r="I22" s="6"/>
      <c r="J22" s="6"/>
      <c r="K22" s="6"/>
      <c r="L22" s="6"/>
      <c r="M22" s="6"/>
      <c r="N22" s="6"/>
      <c r="O22" s="6"/>
      <c r="P22" s="6"/>
      <c r="Q22" s="6"/>
    </row>
    <row r="23" spans="1:17" x14ac:dyDescent="0.25">
      <c r="A23" s="6"/>
      <c r="B23" s="6"/>
      <c r="C23" s="6"/>
      <c r="D23" s="6"/>
      <c r="E23" s="6"/>
      <c r="F23" s="6"/>
      <c r="G23" s="6"/>
      <c r="H23" s="6"/>
      <c r="I23" s="6"/>
      <c r="J23" s="6"/>
      <c r="K23" s="6"/>
      <c r="L23" s="6"/>
      <c r="M23" s="6"/>
      <c r="N23" s="6"/>
      <c r="O23" s="6"/>
      <c r="P23" s="6"/>
      <c r="Q23" s="6"/>
    </row>
    <row r="24" spans="1:17" x14ac:dyDescent="0.25">
      <c r="A24" s="6"/>
      <c r="B24" s="6"/>
      <c r="C24" s="6"/>
      <c r="D24" s="6"/>
      <c r="E24" s="6"/>
      <c r="F24" s="6"/>
      <c r="G24" s="6"/>
      <c r="H24" s="6"/>
      <c r="I24" s="6"/>
      <c r="J24" s="6"/>
      <c r="K24" s="6"/>
      <c r="L24" s="6"/>
      <c r="M24" s="6"/>
      <c r="N24" s="6"/>
      <c r="O24" s="6"/>
      <c r="P24" s="6"/>
      <c r="Q24" s="6"/>
    </row>
    <row r="25" spans="1:17" x14ac:dyDescent="0.25">
      <c r="A25" s="6"/>
      <c r="B25" s="6"/>
      <c r="C25" s="6"/>
      <c r="D25" s="6"/>
      <c r="E25" s="6"/>
      <c r="F25" s="6"/>
      <c r="G25" s="6"/>
      <c r="H25" s="6"/>
      <c r="I25" s="6"/>
      <c r="J25" s="6"/>
      <c r="K25" s="6"/>
      <c r="L25" s="6"/>
      <c r="M25" s="6"/>
      <c r="N25" s="6"/>
      <c r="O25" s="6"/>
      <c r="P25" s="6"/>
      <c r="Q25" s="6"/>
    </row>
    <row r="26" spans="1:17" x14ac:dyDescent="0.25">
      <c r="A26" s="6"/>
      <c r="B26" s="6"/>
      <c r="C26" s="6"/>
      <c r="D26" s="6"/>
      <c r="E26" s="6"/>
      <c r="F26" s="6"/>
      <c r="G26" s="6"/>
      <c r="H26" s="6"/>
      <c r="I26" s="6"/>
      <c r="J26" s="6"/>
      <c r="K26" s="6"/>
      <c r="L26" s="6"/>
      <c r="M26" s="6"/>
      <c r="N26" s="6"/>
      <c r="O26" s="6"/>
      <c r="P26" s="6"/>
      <c r="Q26" s="6"/>
    </row>
    <row r="27" spans="1:17" x14ac:dyDescent="0.25">
      <c r="A27" s="6"/>
      <c r="B27" s="6"/>
      <c r="C27" s="6"/>
      <c r="D27" s="6"/>
      <c r="E27" s="6"/>
      <c r="F27" s="6"/>
      <c r="G27" s="6"/>
      <c r="H27" s="6"/>
      <c r="I27" s="6"/>
      <c r="J27" s="6"/>
      <c r="K27" s="6"/>
      <c r="L27" s="6"/>
      <c r="M27" s="6"/>
      <c r="N27" s="6"/>
      <c r="O27" s="6"/>
      <c r="P27" s="6"/>
      <c r="Q27" s="6"/>
    </row>
    <row r="28" spans="1:17" x14ac:dyDescent="0.25">
      <c r="A28" s="6"/>
      <c r="B28" s="6"/>
      <c r="C28" s="6"/>
      <c r="D28" s="6"/>
      <c r="E28" s="6"/>
      <c r="F28" s="6"/>
      <c r="G28" s="6"/>
      <c r="H28" s="6"/>
      <c r="I28" s="6"/>
      <c r="J28" s="6"/>
      <c r="K28" s="6"/>
      <c r="L28" s="6"/>
      <c r="M28" s="6"/>
      <c r="N28" s="6"/>
      <c r="O28" s="6"/>
      <c r="P28" s="6"/>
      <c r="Q28" s="6"/>
    </row>
    <row r="29" spans="1:17" x14ac:dyDescent="0.25">
      <c r="A29" s="6"/>
      <c r="B29" s="6"/>
      <c r="C29" s="6"/>
      <c r="D29" s="6"/>
      <c r="E29" s="6"/>
      <c r="F29" s="6"/>
      <c r="G29" s="6"/>
      <c r="H29" s="6"/>
      <c r="I29" s="6"/>
      <c r="J29" s="6"/>
      <c r="K29" s="6"/>
      <c r="L29" s="6"/>
      <c r="M29" s="6"/>
      <c r="N29" s="6"/>
      <c r="O29" s="6"/>
      <c r="P29" s="6"/>
      <c r="Q29" s="6"/>
    </row>
    <row r="30" spans="1:17" x14ac:dyDescent="0.25">
      <c r="A30" s="6"/>
      <c r="B30" s="6"/>
      <c r="C30" s="6"/>
      <c r="D30" s="6"/>
      <c r="E30" s="6"/>
      <c r="F30" s="6"/>
      <c r="G30" s="6"/>
      <c r="H30" s="6"/>
      <c r="I30" s="6"/>
      <c r="J30" s="6"/>
      <c r="K30" s="6"/>
      <c r="L30" s="6"/>
      <c r="M30" s="6"/>
      <c r="N30" s="6"/>
      <c r="O30" s="6"/>
      <c r="P30" s="6"/>
      <c r="Q30" s="6"/>
    </row>
    <row r="31" spans="1:17" x14ac:dyDescent="0.25">
      <c r="A31" s="6"/>
      <c r="B31" s="6"/>
      <c r="C31" s="6"/>
      <c r="D31" s="6"/>
      <c r="E31" s="6"/>
      <c r="F31" s="6"/>
      <c r="G31" s="6"/>
      <c r="H31" s="6"/>
      <c r="I31" s="6"/>
      <c r="J31" s="6"/>
      <c r="K31" s="6"/>
      <c r="L31" s="6"/>
      <c r="M31" s="6"/>
      <c r="N31" s="6"/>
      <c r="O31" s="6"/>
      <c r="P31" s="6"/>
      <c r="Q31" s="6"/>
    </row>
    <row r="32" spans="1:17" x14ac:dyDescent="0.25">
      <c r="A32" s="6"/>
      <c r="B32" s="6"/>
      <c r="C32" s="6"/>
      <c r="D32" s="6"/>
      <c r="E32" s="6"/>
      <c r="F32" s="6"/>
      <c r="G32" s="6"/>
      <c r="H32" s="6"/>
      <c r="I32" s="6"/>
      <c r="J32" s="6"/>
      <c r="K32" s="6"/>
      <c r="L32" s="6"/>
      <c r="M32" s="6"/>
      <c r="N32" s="6"/>
      <c r="O32" s="6"/>
      <c r="P32" s="6"/>
      <c r="Q32" s="6"/>
    </row>
    <row r="33" spans="1:17" x14ac:dyDescent="0.25">
      <c r="A33" s="6"/>
      <c r="B33" s="6"/>
      <c r="C33" s="6"/>
      <c r="D33" s="6"/>
      <c r="E33" s="6"/>
      <c r="F33" s="6"/>
      <c r="G33" s="6"/>
      <c r="H33" s="6"/>
      <c r="I33" s="6"/>
      <c r="J33" s="6"/>
      <c r="K33" s="6"/>
      <c r="L33" s="6"/>
      <c r="M33" s="6"/>
      <c r="N33" s="6"/>
      <c r="O33" s="6"/>
      <c r="P33" s="6"/>
      <c r="Q33" s="6"/>
    </row>
    <row r="34" spans="1:17" x14ac:dyDescent="0.25">
      <c r="A34" s="6"/>
      <c r="B34" s="6"/>
      <c r="C34" s="6"/>
      <c r="D34" s="6"/>
      <c r="E34" s="6"/>
      <c r="F34" s="6"/>
      <c r="G34" s="6"/>
      <c r="H34" s="6"/>
      <c r="I34" s="6"/>
      <c r="J34" s="6"/>
      <c r="K34" s="6"/>
      <c r="L34" s="6"/>
      <c r="M34" s="6"/>
      <c r="N34" s="6"/>
      <c r="O34" s="6"/>
      <c r="P34" s="6"/>
      <c r="Q34" s="6"/>
    </row>
    <row r="35" spans="1:17" x14ac:dyDescent="0.25">
      <c r="A35" s="6"/>
      <c r="B35" s="6"/>
      <c r="C35" s="6"/>
      <c r="D35" s="6"/>
      <c r="E35" s="6"/>
      <c r="F35" s="6"/>
      <c r="G35" s="6"/>
      <c r="H35" s="6"/>
      <c r="I35" s="6"/>
      <c r="J35" s="6"/>
      <c r="K35" s="6"/>
      <c r="L35" s="6"/>
      <c r="M35" s="6"/>
      <c r="N35" s="6"/>
      <c r="O35" s="6"/>
      <c r="P35" s="6"/>
      <c r="Q35" s="6"/>
    </row>
    <row r="36" spans="1:17" x14ac:dyDescent="0.25">
      <c r="A36" s="6"/>
      <c r="B36" s="6"/>
      <c r="C36" s="6"/>
      <c r="D36" s="6"/>
      <c r="E36" s="6"/>
      <c r="F36" s="6"/>
      <c r="G36" s="6"/>
      <c r="H36" s="6"/>
      <c r="I36" s="6"/>
      <c r="J36" s="6"/>
      <c r="K36" s="6"/>
      <c r="L36" s="6"/>
      <c r="M36" s="6"/>
      <c r="N36" s="6"/>
      <c r="O36" s="6"/>
      <c r="P36" s="6"/>
      <c r="Q36" s="6"/>
    </row>
    <row r="37" spans="1:17" x14ac:dyDescent="0.25">
      <c r="A37" s="6"/>
      <c r="B37" s="6"/>
      <c r="C37" s="6"/>
      <c r="D37" s="6"/>
      <c r="E37" s="6"/>
      <c r="F37" s="6"/>
      <c r="G37" s="6"/>
      <c r="H37" s="6"/>
      <c r="I37" s="6"/>
      <c r="J37" s="6"/>
      <c r="K37" s="6"/>
      <c r="L37" s="6"/>
      <c r="M37" s="6"/>
      <c r="N37" s="6"/>
      <c r="O37" s="6"/>
      <c r="P37" s="6"/>
      <c r="Q37" s="6"/>
    </row>
    <row r="38" spans="1:17" x14ac:dyDescent="0.25">
      <c r="A38" s="6"/>
      <c r="B38" s="6"/>
      <c r="C38" s="6"/>
      <c r="D38" s="6"/>
      <c r="E38" s="6"/>
      <c r="F38" s="6"/>
      <c r="G38" s="6"/>
      <c r="H38" s="6"/>
      <c r="I38" s="6"/>
      <c r="J38" s="6"/>
      <c r="K38" s="6"/>
      <c r="L38" s="6"/>
      <c r="M38" s="6"/>
      <c r="N38" s="6"/>
      <c r="O38" s="6"/>
      <c r="P38" s="6"/>
      <c r="Q38" s="6"/>
    </row>
    <row r="39" spans="1:17" x14ac:dyDescent="0.25">
      <c r="A39" s="6"/>
      <c r="B39" s="6"/>
      <c r="C39" s="6"/>
      <c r="D39" s="6"/>
      <c r="E39" s="6"/>
      <c r="F39" s="6"/>
      <c r="G39" s="6"/>
      <c r="H39" s="6"/>
      <c r="I39" s="6"/>
      <c r="J39" s="6"/>
      <c r="K39" s="6"/>
      <c r="L39" s="6"/>
      <c r="M39" s="6"/>
      <c r="N39" s="6"/>
      <c r="O39" s="6"/>
      <c r="P39" s="6"/>
      <c r="Q39" s="6"/>
    </row>
    <row r="40" spans="1:17" x14ac:dyDescent="0.25">
      <c r="A40" s="6"/>
      <c r="B40" s="6"/>
      <c r="C40" s="6"/>
      <c r="D40" s="6"/>
      <c r="E40" s="6"/>
      <c r="F40" s="6"/>
      <c r="G40" s="6"/>
      <c r="H40" s="6"/>
      <c r="I40" s="6"/>
      <c r="J40" s="6"/>
      <c r="K40" s="6"/>
      <c r="L40" s="6"/>
      <c r="M40" s="6"/>
      <c r="N40" s="6"/>
      <c r="O40" s="6"/>
      <c r="P40" s="6"/>
      <c r="Q40" s="6"/>
    </row>
    <row r="41" spans="1:17" x14ac:dyDescent="0.25">
      <c r="A41" s="6"/>
      <c r="B41" s="6"/>
      <c r="C41" s="6"/>
      <c r="D41" s="6"/>
      <c r="E41" s="6"/>
      <c r="F41" s="6"/>
      <c r="G41" s="6"/>
      <c r="H41" s="6"/>
      <c r="I41" s="6"/>
      <c r="J41" s="6"/>
      <c r="K41" s="6"/>
      <c r="L41" s="6"/>
      <c r="M41" s="6"/>
      <c r="N41" s="6"/>
      <c r="O41" s="6"/>
      <c r="P41" s="6"/>
      <c r="Q41"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2F6E0-02D9-4178-83AD-03431F56C787}">
  <dimension ref="A1:Q23"/>
  <sheetViews>
    <sheetView workbookViewId="0"/>
  </sheetViews>
  <sheetFormatPr defaultRowHeight="15" x14ac:dyDescent="0.25"/>
  <sheetData>
    <row r="1" spans="1:17" x14ac:dyDescent="0.25">
      <c r="A1" s="6"/>
      <c r="B1" s="6"/>
      <c r="C1" s="6"/>
      <c r="D1" s="6"/>
      <c r="E1" s="6"/>
      <c r="F1" s="6"/>
      <c r="G1" s="6"/>
      <c r="H1" s="6"/>
      <c r="I1" s="6"/>
      <c r="J1" s="6"/>
      <c r="K1" s="6"/>
      <c r="L1" s="6"/>
      <c r="M1" s="6"/>
      <c r="N1" s="6"/>
      <c r="O1" s="6"/>
      <c r="P1" s="6"/>
      <c r="Q1" s="6"/>
    </row>
    <row r="2" spans="1:17" x14ac:dyDescent="0.25">
      <c r="A2" s="6"/>
      <c r="B2" s="6"/>
      <c r="C2" s="6"/>
      <c r="D2" s="6"/>
      <c r="E2" s="6"/>
      <c r="F2" s="6"/>
      <c r="G2" s="6"/>
      <c r="H2" s="6"/>
      <c r="I2" s="6"/>
      <c r="J2" s="6"/>
      <c r="K2" s="6"/>
      <c r="L2" s="6"/>
      <c r="M2" s="6"/>
      <c r="N2" s="6"/>
      <c r="O2" s="6"/>
      <c r="P2" s="6"/>
      <c r="Q2" s="6"/>
    </row>
    <row r="3" spans="1:17" x14ac:dyDescent="0.25">
      <c r="A3" s="6"/>
      <c r="B3" s="6"/>
      <c r="C3" s="6"/>
      <c r="D3" s="6"/>
      <c r="E3" s="6"/>
      <c r="F3" s="6"/>
      <c r="G3" s="6"/>
      <c r="H3" s="6"/>
      <c r="I3" s="6"/>
      <c r="J3" s="6"/>
      <c r="K3" s="6"/>
      <c r="L3" s="6"/>
      <c r="M3" s="6"/>
      <c r="N3" s="6"/>
      <c r="O3" s="6"/>
      <c r="P3" s="6"/>
      <c r="Q3" s="6"/>
    </row>
    <row r="4" spans="1:17" x14ac:dyDescent="0.25">
      <c r="A4" s="6"/>
      <c r="B4" s="6"/>
      <c r="C4" s="6"/>
      <c r="D4" s="6"/>
      <c r="E4" s="6"/>
      <c r="F4" s="6"/>
      <c r="G4" s="6"/>
      <c r="H4" s="6"/>
      <c r="I4" s="6"/>
      <c r="J4" s="6"/>
      <c r="K4" s="6"/>
      <c r="L4" s="6"/>
      <c r="M4" s="6"/>
      <c r="N4" s="6"/>
      <c r="O4" s="6"/>
      <c r="P4" s="6"/>
      <c r="Q4" s="6"/>
    </row>
    <row r="5" spans="1:17" x14ac:dyDescent="0.25">
      <c r="A5" s="6"/>
      <c r="B5" s="6"/>
      <c r="C5" s="6"/>
      <c r="D5" s="6"/>
      <c r="E5" s="6"/>
      <c r="F5" s="6"/>
      <c r="G5" s="6"/>
      <c r="H5" s="6"/>
      <c r="I5" s="6"/>
      <c r="J5" s="6"/>
      <c r="K5" s="6"/>
      <c r="L5" s="6"/>
      <c r="M5" s="6"/>
      <c r="N5" s="6"/>
      <c r="O5" s="6"/>
      <c r="P5" s="6"/>
      <c r="Q5" s="6"/>
    </row>
    <row r="6" spans="1:17" x14ac:dyDescent="0.25">
      <c r="A6" s="6"/>
      <c r="B6" s="6"/>
      <c r="C6" s="6"/>
      <c r="D6" s="6"/>
      <c r="E6" s="6"/>
      <c r="F6" s="6"/>
      <c r="G6" s="6"/>
      <c r="H6" s="6"/>
      <c r="I6" s="6"/>
      <c r="J6" s="6"/>
      <c r="K6" s="6"/>
      <c r="L6" s="6"/>
      <c r="M6" s="6"/>
      <c r="N6" s="6"/>
      <c r="O6" s="6"/>
      <c r="P6" s="6"/>
      <c r="Q6" s="6"/>
    </row>
    <row r="7" spans="1:17" x14ac:dyDescent="0.25">
      <c r="A7" s="6"/>
      <c r="B7" s="6"/>
      <c r="C7" s="6"/>
      <c r="D7" s="6"/>
      <c r="E7" s="6"/>
      <c r="F7" s="6"/>
      <c r="G7" s="6"/>
      <c r="H7" s="6"/>
      <c r="I7" s="6"/>
      <c r="J7" s="6"/>
      <c r="K7" s="6"/>
      <c r="L7" s="6"/>
      <c r="M7" s="6"/>
      <c r="N7" s="6"/>
      <c r="O7" s="6"/>
      <c r="P7" s="6"/>
      <c r="Q7" s="6"/>
    </row>
    <row r="8" spans="1:17" x14ac:dyDescent="0.25">
      <c r="A8" s="6"/>
      <c r="B8" s="6"/>
      <c r="C8" s="6"/>
      <c r="D8" s="6"/>
      <c r="E8" s="6"/>
      <c r="F8" s="6"/>
      <c r="G8" s="6"/>
      <c r="H8" s="6"/>
      <c r="I8" s="6"/>
      <c r="J8" s="6"/>
      <c r="K8" s="6"/>
      <c r="L8" s="6"/>
      <c r="M8" s="6"/>
      <c r="N8" s="6"/>
      <c r="O8" s="6"/>
      <c r="P8" s="6"/>
      <c r="Q8" s="6"/>
    </row>
    <row r="9" spans="1:17" x14ac:dyDescent="0.25">
      <c r="A9" s="6"/>
      <c r="B9" s="6"/>
      <c r="C9" s="6"/>
      <c r="D9" s="6"/>
      <c r="E9" s="6"/>
      <c r="F9" s="6"/>
      <c r="G9" s="6"/>
      <c r="H9" s="6"/>
      <c r="I9" s="6"/>
      <c r="J9" s="6"/>
      <c r="K9" s="6"/>
      <c r="L9" s="6"/>
      <c r="M9" s="6"/>
      <c r="N9" s="6"/>
      <c r="O9" s="6"/>
      <c r="P9" s="6"/>
      <c r="Q9" s="6"/>
    </row>
    <row r="10" spans="1:17" x14ac:dyDescent="0.25">
      <c r="A10" s="6"/>
      <c r="B10" s="6"/>
      <c r="C10" s="6"/>
      <c r="D10" s="6"/>
      <c r="E10" s="6"/>
      <c r="F10" s="6"/>
      <c r="G10" s="6"/>
      <c r="H10" s="6"/>
      <c r="I10" s="6"/>
      <c r="J10" s="6"/>
      <c r="K10" s="6"/>
      <c r="L10" s="6"/>
      <c r="M10" s="6"/>
      <c r="N10" s="6"/>
      <c r="O10" s="6"/>
      <c r="P10" s="6"/>
      <c r="Q10" s="6"/>
    </row>
    <row r="11" spans="1:17" x14ac:dyDescent="0.25">
      <c r="A11" s="6"/>
      <c r="B11" s="6"/>
      <c r="C11" s="6"/>
      <c r="D11" s="6"/>
      <c r="E11" s="6"/>
      <c r="F11" s="6"/>
      <c r="G11" s="6"/>
      <c r="H11" s="6"/>
      <c r="I11" s="6"/>
      <c r="J11" s="6"/>
      <c r="K11" s="6"/>
      <c r="L11" s="6"/>
      <c r="M11" s="6"/>
      <c r="N11" s="6"/>
      <c r="O11" s="6"/>
      <c r="P11" s="6"/>
      <c r="Q11" s="6"/>
    </row>
    <row r="12" spans="1:17" x14ac:dyDescent="0.25">
      <c r="A12" s="6"/>
      <c r="B12" s="6"/>
      <c r="C12" s="6"/>
      <c r="D12" s="6"/>
      <c r="E12" s="6"/>
      <c r="F12" s="6"/>
      <c r="G12" s="6"/>
      <c r="H12" s="6"/>
      <c r="I12" s="6"/>
      <c r="J12" s="6"/>
      <c r="K12" s="6"/>
      <c r="L12" s="6"/>
      <c r="M12" s="6"/>
      <c r="N12" s="6"/>
      <c r="O12" s="6"/>
      <c r="P12" s="6"/>
      <c r="Q12" s="6"/>
    </row>
    <row r="13" spans="1:17" x14ac:dyDescent="0.25">
      <c r="A13" s="6"/>
      <c r="B13" s="6"/>
      <c r="C13" s="6"/>
      <c r="D13" s="6"/>
      <c r="E13" s="6"/>
      <c r="F13" s="6"/>
      <c r="G13" s="6"/>
      <c r="H13" s="6"/>
      <c r="I13" s="6"/>
      <c r="J13" s="6"/>
      <c r="K13" s="6"/>
      <c r="L13" s="6"/>
      <c r="M13" s="6"/>
      <c r="N13" s="6"/>
      <c r="O13" s="6"/>
      <c r="P13" s="6"/>
      <c r="Q13" s="6"/>
    </row>
    <row r="14" spans="1:17" x14ac:dyDescent="0.25">
      <c r="A14" s="6"/>
      <c r="B14" s="6"/>
      <c r="C14" s="6"/>
      <c r="D14" s="6"/>
      <c r="E14" s="6"/>
      <c r="F14" s="6"/>
      <c r="G14" s="6"/>
      <c r="H14" s="6"/>
      <c r="I14" s="6"/>
      <c r="J14" s="6"/>
      <c r="K14" s="6"/>
      <c r="L14" s="6"/>
      <c r="M14" s="6"/>
      <c r="N14" s="6"/>
      <c r="O14" s="6"/>
      <c r="P14" s="6"/>
      <c r="Q14" s="6"/>
    </row>
    <row r="15" spans="1:17" x14ac:dyDescent="0.25">
      <c r="A15" s="6"/>
      <c r="B15" s="6"/>
      <c r="C15" s="6"/>
      <c r="D15" s="6"/>
      <c r="E15" s="6"/>
      <c r="F15" s="6"/>
      <c r="G15" s="6"/>
      <c r="H15" s="6"/>
      <c r="I15" s="6"/>
      <c r="J15" s="6"/>
      <c r="K15" s="6"/>
      <c r="L15" s="6"/>
      <c r="M15" s="6"/>
      <c r="N15" s="6"/>
      <c r="O15" s="6"/>
      <c r="P15" s="6"/>
      <c r="Q15" s="6"/>
    </row>
    <row r="16" spans="1:17" x14ac:dyDescent="0.25">
      <c r="A16" s="6"/>
      <c r="B16" s="6"/>
      <c r="C16" s="6"/>
      <c r="D16" s="6"/>
      <c r="E16" s="6"/>
      <c r="F16" s="6"/>
      <c r="G16" s="6"/>
      <c r="H16" s="6"/>
      <c r="I16" s="6"/>
      <c r="J16" s="6"/>
      <c r="K16" s="6"/>
      <c r="L16" s="6"/>
      <c r="M16" s="6"/>
      <c r="N16" s="6"/>
      <c r="O16" s="6"/>
      <c r="P16" s="6"/>
      <c r="Q16" s="6"/>
    </row>
    <row r="17" spans="1:17" x14ac:dyDescent="0.25">
      <c r="A17" s="6"/>
      <c r="B17" s="6"/>
      <c r="C17" s="6"/>
      <c r="D17" s="6"/>
      <c r="E17" s="6"/>
      <c r="F17" s="6"/>
      <c r="G17" s="6"/>
      <c r="H17" s="6"/>
      <c r="I17" s="6"/>
      <c r="J17" s="6"/>
      <c r="K17" s="6"/>
      <c r="L17" s="6"/>
      <c r="M17" s="6"/>
      <c r="N17" s="6"/>
      <c r="O17" s="6"/>
      <c r="P17" s="6"/>
      <c r="Q17" s="6"/>
    </row>
    <row r="18" spans="1:17" x14ac:dyDescent="0.25">
      <c r="A18" s="6"/>
      <c r="B18" s="6"/>
      <c r="C18" s="6"/>
      <c r="D18" s="6"/>
      <c r="E18" s="6"/>
      <c r="F18" s="6"/>
      <c r="G18" s="6"/>
      <c r="H18" s="6"/>
      <c r="I18" s="6"/>
      <c r="J18" s="6"/>
      <c r="K18" s="6"/>
      <c r="L18" s="6"/>
      <c r="M18" s="6"/>
      <c r="N18" s="6"/>
      <c r="O18" s="6"/>
      <c r="P18" s="6"/>
      <c r="Q18" s="6"/>
    </row>
    <row r="19" spans="1:17" x14ac:dyDescent="0.25">
      <c r="A19" s="6"/>
      <c r="B19" s="6"/>
      <c r="C19" s="6"/>
      <c r="D19" s="6"/>
      <c r="E19" s="6"/>
      <c r="F19" s="6"/>
      <c r="G19" s="6"/>
      <c r="H19" s="6"/>
      <c r="I19" s="6"/>
      <c r="J19" s="6"/>
      <c r="K19" s="6"/>
      <c r="L19" s="6"/>
      <c r="M19" s="6"/>
      <c r="N19" s="6"/>
      <c r="O19" s="6"/>
      <c r="P19" s="6"/>
      <c r="Q19" s="6"/>
    </row>
    <row r="20" spans="1:17" x14ac:dyDescent="0.25">
      <c r="A20" s="6"/>
      <c r="B20" s="6"/>
      <c r="C20" s="6"/>
      <c r="D20" s="6"/>
      <c r="E20" s="6"/>
      <c r="F20" s="6"/>
      <c r="G20" s="6"/>
      <c r="H20" s="6"/>
      <c r="I20" s="6"/>
      <c r="J20" s="6"/>
      <c r="K20" s="6"/>
      <c r="L20" s="6"/>
      <c r="M20" s="6"/>
      <c r="N20" s="6"/>
      <c r="O20" s="6"/>
      <c r="P20" s="6"/>
      <c r="Q20" s="6"/>
    </row>
    <row r="21" spans="1:17" x14ac:dyDescent="0.25">
      <c r="A21" s="6"/>
      <c r="B21" s="6"/>
      <c r="C21" s="6"/>
      <c r="D21" s="6"/>
      <c r="E21" s="6"/>
      <c r="F21" s="6"/>
      <c r="G21" s="6"/>
      <c r="H21" s="6"/>
      <c r="I21" s="6"/>
      <c r="J21" s="6"/>
      <c r="K21" s="6"/>
      <c r="L21" s="6"/>
      <c r="M21" s="6"/>
      <c r="N21" s="6"/>
      <c r="O21" s="6"/>
      <c r="P21" s="6"/>
      <c r="Q21" s="6"/>
    </row>
    <row r="22" spans="1:17" x14ac:dyDescent="0.25">
      <c r="A22" s="6"/>
      <c r="B22" s="6"/>
      <c r="C22" s="6"/>
      <c r="D22" s="6"/>
      <c r="E22" s="6"/>
      <c r="F22" s="6"/>
      <c r="G22" s="6"/>
      <c r="H22" s="6"/>
      <c r="I22" s="6"/>
      <c r="J22" s="6"/>
      <c r="K22" s="6"/>
      <c r="L22" s="6"/>
      <c r="M22" s="6"/>
      <c r="N22" s="6"/>
      <c r="O22" s="6"/>
      <c r="P22" s="6"/>
      <c r="Q22" s="6"/>
    </row>
    <row r="23" spans="1:17" x14ac:dyDescent="0.25">
      <c r="A23" s="6"/>
      <c r="B23" s="6"/>
      <c r="C23" s="6"/>
      <c r="D23" s="6"/>
      <c r="E23" s="6"/>
      <c r="F23" s="6"/>
      <c r="G23" s="6"/>
      <c r="H23" s="6"/>
      <c r="I23" s="6"/>
      <c r="J23" s="6"/>
      <c r="K23" s="6"/>
      <c r="L23" s="6"/>
      <c r="M23" s="6"/>
      <c r="N23" s="6"/>
      <c r="O23" s="6"/>
      <c r="P23" s="6"/>
      <c r="Q23"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F1963BF-1EB5-4C8E-A86D-782592B9453B}">
  <ds:schemaRefs/>
</ds:datastoreItem>
</file>

<file path=customXml/itemProps2.xml><?xml version="1.0" encoding="utf-8"?>
<ds:datastoreItem xmlns:ds="http://schemas.openxmlformats.org/officeDocument/2006/customXml" ds:itemID="{02A9E53F-A8CF-493A-B673-2D9611A4F218}">
  <ds:schemaRefs/>
</ds:datastoreItem>
</file>

<file path=customXml/itemProps3.xml><?xml version="1.0" encoding="utf-8"?>
<ds:datastoreItem xmlns:ds="http://schemas.openxmlformats.org/officeDocument/2006/customXml" ds:itemID="{C36CC0DF-DBCD-41D2-BB95-BE5FD4C6629F}">
  <ds:schemaRefs/>
</ds:datastoreItem>
</file>

<file path=customXml/itemProps4.xml><?xml version="1.0" encoding="utf-8"?>
<ds:datastoreItem xmlns:ds="http://schemas.openxmlformats.org/officeDocument/2006/customXml" ds:itemID="{24C5488D-F2B9-43F6-ADAC-05C7114A8FD2}">
  <ds:schemaRefs/>
</ds:datastoreItem>
</file>

<file path=customXml/itemProps5.xml><?xml version="1.0" encoding="utf-8"?>
<ds:datastoreItem xmlns:ds="http://schemas.openxmlformats.org/officeDocument/2006/customXml" ds:itemID="{F66F3093-13DA-4622-8BBA-90142995020F}">
  <ds:schemaRefs/>
</ds:datastoreItem>
</file>

<file path=customXml/itemProps6.xml><?xml version="1.0" encoding="utf-8"?>
<ds:datastoreItem xmlns:ds="http://schemas.openxmlformats.org/officeDocument/2006/customXml" ds:itemID="{60EC301E-EB1F-41C8-94D9-08B06D192290}">
  <ds:schemaRefs/>
</ds:datastoreItem>
</file>

<file path=customXml/itemProps7.xml><?xml version="1.0" encoding="utf-8"?>
<ds:datastoreItem xmlns:ds="http://schemas.openxmlformats.org/officeDocument/2006/customXml" ds:itemID="{CECC0B3C-6345-4DB8-9A8F-4749C22357E9}">
  <ds:schemaRefs/>
</ds:datastoreItem>
</file>

<file path=customXml/itemProps8.xml><?xml version="1.0" encoding="utf-8"?>
<ds:datastoreItem xmlns:ds="http://schemas.openxmlformats.org/officeDocument/2006/customXml" ds:itemID="{7FF9FE42-20A6-4182-ACB7-DAD8E457391F}">
  <ds:schemaRefs/>
</ds:datastoreItem>
</file>

<file path=customXml/itemProps9.xml><?xml version="1.0" encoding="utf-8"?>
<ds:datastoreItem xmlns:ds="http://schemas.openxmlformats.org/officeDocument/2006/customXml" ds:itemID="{FAC8B4A0-B280-46C0-B9DB-B1CA57891B31}">
  <ds:schemaRefs/>
</ds:datastoreItem>
</file>

<file path=customXml/itemProps10.xml><?xml version="1.0" encoding="utf-8"?>
<ds:datastoreItem xmlns:ds="http://schemas.openxmlformats.org/officeDocument/2006/customXml" ds:itemID="{0396C576-756E-40D8-804D-7747A89002DB}">
  <ds:schemaRefs/>
</ds:datastoreItem>
</file>

<file path=customXml/itemProps11.xml><?xml version="1.0" encoding="utf-8"?>
<ds:datastoreItem xmlns:ds="http://schemas.openxmlformats.org/officeDocument/2006/customXml" ds:itemID="{8707D27B-9D52-4C0F-8D01-E594EF881288}">
  <ds:schemaRefs/>
</ds:datastoreItem>
</file>

<file path=customXml/itemProps12.xml><?xml version="1.0" encoding="utf-8"?>
<ds:datastoreItem xmlns:ds="http://schemas.openxmlformats.org/officeDocument/2006/customXml" ds:itemID="{72C5DB44-DDBC-4213-BF06-FEC6A3481F2A}">
  <ds:schemaRefs/>
</ds:datastoreItem>
</file>

<file path=customXml/itemProps13.xml><?xml version="1.0" encoding="utf-8"?>
<ds:datastoreItem xmlns:ds="http://schemas.openxmlformats.org/officeDocument/2006/customXml" ds:itemID="{9C5DA6EC-12DF-42C6-8E30-CD440ABB06EE}">
  <ds:schemaRefs>
    <ds:schemaRef ds:uri="http://schemas.microsoft.com/DataMashup"/>
  </ds:schemaRefs>
</ds:datastoreItem>
</file>

<file path=customXml/itemProps14.xml><?xml version="1.0" encoding="utf-8"?>
<ds:datastoreItem xmlns:ds="http://schemas.openxmlformats.org/officeDocument/2006/customXml" ds:itemID="{5684786E-85BA-4F53-A44D-B419417CE712}">
  <ds:schemaRefs/>
</ds:datastoreItem>
</file>

<file path=customXml/itemProps15.xml><?xml version="1.0" encoding="utf-8"?>
<ds:datastoreItem xmlns:ds="http://schemas.openxmlformats.org/officeDocument/2006/customXml" ds:itemID="{DF1BBD4D-7FDB-4B92-A964-10D8AEC83F62}">
  <ds:schemaRefs/>
</ds:datastoreItem>
</file>

<file path=customXml/itemProps16.xml><?xml version="1.0" encoding="utf-8"?>
<ds:datastoreItem xmlns:ds="http://schemas.openxmlformats.org/officeDocument/2006/customXml" ds:itemID="{CCB1FB7D-CAF0-4EA0-8C8F-E51F373F0196}">
  <ds:schemaRefs/>
</ds:datastoreItem>
</file>

<file path=customXml/itemProps17.xml><?xml version="1.0" encoding="utf-8"?>
<ds:datastoreItem xmlns:ds="http://schemas.openxmlformats.org/officeDocument/2006/customXml" ds:itemID="{2DE9C127-1DCB-4C37-9864-DD06EBCE0BF3}">
  <ds:schemaRefs/>
</ds:datastoreItem>
</file>

<file path=customXml/itemProps18.xml><?xml version="1.0" encoding="utf-8"?>
<ds:datastoreItem xmlns:ds="http://schemas.openxmlformats.org/officeDocument/2006/customXml" ds:itemID="{C87DB6D3-329A-47EA-BEBF-6489943817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Daily ER No of Patient</vt:lpstr>
      <vt:lpstr>Dashboard</vt:lpstr>
      <vt:lpstr>Satisfaction Score daily trend </vt:lpstr>
      <vt:lpstr>Average wait time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A c</dc:creator>
  <cp:lastModifiedBy>Rakesh A c</cp:lastModifiedBy>
  <dcterms:created xsi:type="dcterms:W3CDTF">2026-01-02T06:17:02Z</dcterms:created>
  <dcterms:modified xsi:type="dcterms:W3CDTF">2026-01-04T07:35:24Z</dcterms:modified>
</cp:coreProperties>
</file>